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sep\Downloads\"/>
    </mc:Choice>
  </mc:AlternateContent>
  <xr:revisionPtr revIDLastSave="0" documentId="13_ncr:1_{153DBEAC-1EE0-4B14-8431-48BD19D1770B}" xr6:coauthVersionLast="47" xr6:coauthVersionMax="47" xr10:uidLastSave="{00000000-0000-0000-0000-000000000000}"/>
  <bookViews>
    <workbookView xWindow="-120" yWindow="-120" windowWidth="29040" windowHeight="15720" xr2:uid="{D113B64C-858C-4912-849A-16C223BECCD1}"/>
  </bookViews>
  <sheets>
    <sheet name="0. Read Me!" sheetId="2" r:id="rId1"/>
    <sheet name="1. Household" sheetId="3" r:id="rId2"/>
    <sheet name="2.1 Driver" sheetId="4" r:id="rId3"/>
    <sheet name="2.2 Driver" sheetId="16" r:id="rId4"/>
    <sheet name="2.3 Driver" sheetId="17" r:id="rId5"/>
    <sheet name="2.4 Driver" sheetId="18" r:id="rId6"/>
    <sheet name="3.1 Vehicle" sheetId="8" r:id="rId7"/>
    <sheet name="3.2 Vehicle" sheetId="10" r:id="rId8"/>
    <sheet name="3.3 Vehicle" sheetId="11" r:id="rId9"/>
    <sheet name="3.4 Vehicle" sheetId="12" r:id="rId10"/>
    <sheet name="4.1 Coverage" sheetId="26" r:id="rId11"/>
    <sheet name="4.2 Coverage" sheetId="27" r:id="rId12"/>
    <sheet name="4.3 Coverage" sheetId="28" r:id="rId13"/>
    <sheet name="4.4 Coverage" sheetId="29" r:id="rId14"/>
    <sheet name="5. Final Quote" sheetId="23" r:id="rId15"/>
    <sheet name="Coverage Multiples" sheetId="30" state="hidden" r:id="rId16"/>
    <sheet name="Calculations" sheetId="19" state="hidden" r:id="rId17"/>
    <sheet name="DRG" sheetId="21" state="hidden" r:id="rId18"/>
    <sheet name="Driver Discounts" sheetId="22" state="hidden" r:id="rId19"/>
    <sheet name="Driver Records" sheetId="13" state="hidden" r:id="rId20"/>
    <sheet name="Driver Point System" sheetId="15" state="hidden" r:id="rId21"/>
    <sheet name="Locations" sheetId="14" state="hidden" r:id="rId22"/>
    <sheet name="Vehicles &amp; GRG" sheetId="9" state="hidden" r:id="rId23"/>
    <sheet name="Mileage" sheetId="25" state="hidden" r:id="rId24"/>
  </sheets>
  <definedNames>
    <definedName name="_xlnm._FilterDatabase" localSheetId="22" hidden="1">'Vehicles &amp; GRG'!$C$2:$H$2</definedName>
    <definedName name="CGDD1">'Driver Discounts'!$F$6</definedName>
    <definedName name="CGDD2">'Driver Discounts'!$F$7</definedName>
    <definedName name="CGDD3">'Driver Discounts'!$F$8</definedName>
    <definedName name="CGDD4">'Driver Discounts'!$F$9</definedName>
    <definedName name="DRIVER1">DRG!$C$2</definedName>
    <definedName name="DRIVER2">DRG!$C$12</definedName>
    <definedName name="DRIVER3">DRG!$C$22</definedName>
    <definedName name="DRIVER4">DRG!$C$32</definedName>
    <definedName name="FE">'Vehicles &amp; GRG'!$L$4</definedName>
    <definedName name="FEL">'Vehicles &amp; GRG'!$M$4:$O$4</definedName>
    <definedName name="FF">'Vehicles &amp; GRG'!$L$5</definedName>
    <definedName name="FFL">'Vehicles &amp; GRG'!$M$5:$P$5</definedName>
    <definedName name="FM">'Vehicles &amp; GRG'!$L$6</definedName>
    <definedName name="FML">'Vehicles &amp; GRG'!$M$6:$N$6</definedName>
    <definedName name="HA">'Vehicles &amp; GRG'!$L$7</definedName>
    <definedName name="HAL">'Vehicles &amp; GRG'!$M$7:$O$7</definedName>
    <definedName name="HC">'Vehicles &amp; GRG'!$L$8</definedName>
    <definedName name="HCL">'Vehicles &amp; GRG'!$M$8:$N$8</definedName>
    <definedName name="HE">'Vehicles &amp; GRG'!$L$10</definedName>
    <definedName name="HEL">'Vehicles &amp; GRG'!$M$10:$N$10</definedName>
    <definedName name="HH">'Vehicles &amp; GRG'!$L$9</definedName>
    <definedName name="HHL">'Vehicles &amp; GRG'!$M$9:$N$9</definedName>
    <definedName name="HS">'Vehicles &amp; GRG'!$L$11</definedName>
    <definedName name="HSL">'Vehicles &amp; GRG'!$M$11:$N$11</definedName>
    <definedName name="LD">'Driver Discounts'!$I$11</definedName>
    <definedName name="MCD">'Driver Discounts'!$C$6</definedName>
    <definedName name="NG">'Vehicles &amp; GRG'!$L$12</definedName>
    <definedName name="NGL">'Vehicles &amp; GRG'!$M$12:$N$12</definedName>
    <definedName name="NS">'Vehicles &amp; GRG'!$L$13</definedName>
    <definedName name="NSL">'Vehicles &amp; GRG'!$M$13:$O$13</definedName>
    <definedName name="q.d">'1. Household'!$H$3</definedName>
    <definedName name="q.v">'1. Household'!$H$4</definedName>
    <definedName name="tblPremiums1">Calculations!$K$4:$M$4</definedName>
    <definedName name="tblPremiums2">Calculations!$K$8:$M$9</definedName>
    <definedName name="tblPremiums3">Calculations!$K$13:$M$15</definedName>
    <definedName name="tblPremiums4">Calculations!$K$19:$M$22</definedName>
    <definedName name="TC">'Vehicles &amp; GRG'!$L$14</definedName>
    <definedName name="TCL">'Vehicles &amp; GRG'!$M$14:$P$14</definedName>
    <definedName name="TP">'Vehicles &amp; GRG'!$L$15</definedName>
    <definedName name="TPL">'Vehicles &amp; GRG'!$M$15:$P$15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7" l="1" a="1"/>
  <c r="E6" i="17" s="1"/>
  <c r="Q24" i="21" s="1"/>
  <c r="C47" i="21" s="1"/>
  <c r="E6" i="18" a="1"/>
  <c r="E6" i="18" s="1"/>
  <c r="E6" i="16" a="1"/>
  <c r="E6" i="16" s="1"/>
  <c r="E6" i="4" a="1"/>
  <c r="E6" i="4" s="1"/>
  <c r="Q4" i="21" s="1"/>
  <c r="C45" i="21" s="1"/>
  <c r="K22" i="19"/>
  <c r="K21" i="19"/>
  <c r="K20" i="19"/>
  <c r="K19" i="19"/>
  <c r="K15" i="19"/>
  <c r="K14" i="19"/>
  <c r="K13" i="19"/>
  <c r="K9" i="19"/>
  <c r="K8" i="19"/>
  <c r="L14" i="28"/>
  <c r="L14" i="27"/>
  <c r="L14" i="26"/>
  <c r="L14" i="29"/>
  <c r="C16" i="17" a="1"/>
  <c r="C16" i="17" s="1"/>
  <c r="C11" i="17"/>
  <c r="C16" i="18" a="1"/>
  <c r="C16" i="18" s="1"/>
  <c r="C11" i="18"/>
  <c r="C16" i="16" a="1"/>
  <c r="C16" i="16" s="1"/>
  <c r="C11" i="16"/>
  <c r="C16" i="4" a="1"/>
  <c r="C16" i="4" s="1"/>
  <c r="C13" i="23"/>
  <c r="C11" i="4"/>
  <c r="C12" i="8"/>
  <c r="C12" i="10"/>
  <c r="C12" i="11"/>
  <c r="C12" i="12"/>
  <c r="C14" i="26"/>
  <c r="C14" i="27"/>
  <c r="C14" i="28"/>
  <c r="C14" i="29"/>
  <c r="G12" i="12"/>
  <c r="G12" i="11"/>
  <c r="G12" i="10"/>
  <c r="G12" i="8"/>
  <c r="N11" i="16"/>
  <c r="N11" i="4"/>
  <c r="N11" i="17"/>
  <c r="N11" i="18"/>
  <c r="G15" i="3"/>
  <c r="I11" i="22"/>
  <c r="E7" i="19" s="1"/>
  <c r="L14" i="30"/>
  <c r="M14" i="30"/>
  <c r="N14" i="30"/>
  <c r="K14" i="30"/>
  <c r="F38" i="30" a="1"/>
  <c r="F38" i="30" s="1"/>
  <c r="E38" i="30" a="1"/>
  <c r="E38" i="30" s="1"/>
  <c r="D38" i="30" a="1"/>
  <c r="D38" i="30" s="1"/>
  <c r="C38" i="30" a="1"/>
  <c r="C38" i="30" s="1"/>
  <c r="E13" i="23"/>
  <c r="K4" i="19"/>
  <c r="C17" i="19"/>
  <c r="C29" i="19"/>
  <c r="C41" i="19"/>
  <c r="C5" i="19"/>
  <c r="G8" i="25"/>
  <c r="H40" i="19"/>
  <c r="H28" i="19"/>
  <c r="H16" i="19"/>
  <c r="H4" i="1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G40" i="19"/>
  <c r="F40" i="19"/>
  <c r="G28" i="19"/>
  <c r="G16" i="19"/>
  <c r="F28" i="19"/>
  <c r="F16" i="19"/>
  <c r="E40" i="19"/>
  <c r="E28" i="19"/>
  <c r="E16" i="19"/>
  <c r="G4" i="19"/>
  <c r="F4" i="19"/>
  <c r="E4" i="19"/>
  <c r="C6" i="22"/>
  <c r="D7" i="19" s="1"/>
  <c r="T34" i="21"/>
  <c r="U34" i="21" s="1"/>
  <c r="T24" i="21"/>
  <c r="U24" i="21" s="1"/>
  <c r="T14" i="21"/>
  <c r="U14" i="21" s="1"/>
  <c r="T4" i="21"/>
  <c r="U4" i="21" s="1"/>
  <c r="B48" i="21"/>
  <c r="E9" i="22" s="1"/>
  <c r="B47" i="21"/>
  <c r="E8" i="22" s="1"/>
  <c r="B46" i="21"/>
  <c r="E7" i="22" s="1"/>
  <c r="B45" i="21"/>
  <c r="E6" i="22" s="1"/>
  <c r="E3" i="15" a="1"/>
  <c r="E3" i="15" s="1"/>
  <c r="C3" i="15" a="1"/>
  <c r="C3" i="15" s="1"/>
  <c r="D3" i="15" a="1"/>
  <c r="D3" i="15" s="1"/>
  <c r="B3" i="15" a="1"/>
  <c r="B3" i="15" s="1"/>
  <c r="R14" i="21" l="1"/>
  <c r="S14" i="21" s="1"/>
  <c r="R34" i="21"/>
  <c r="S34" i="21" s="1"/>
  <c r="Q34" i="21"/>
  <c r="C48" i="21" s="1"/>
  <c r="M4" i="18" a="1"/>
  <c r="M4" i="18" s="1"/>
  <c r="K33" i="21" s="1" a="1"/>
  <c r="M4" i="17" a="1"/>
  <c r="M4" i="17" s="1"/>
  <c r="K23" i="21" s="1" a="1"/>
  <c r="R24" i="21"/>
  <c r="S24" i="21" s="1"/>
  <c r="M4" i="16" a="1"/>
  <c r="M4" i="16" s="1"/>
  <c r="K13" i="21" s="1" a="1"/>
  <c r="Q14" i="21"/>
  <c r="C46" i="21" s="1"/>
  <c r="M4" i="4" a="1"/>
  <c r="M4" i="4" s="1"/>
  <c r="K3" i="21" s="1" a="1"/>
  <c r="K3" i="21" s="1"/>
  <c r="R4" i="21"/>
  <c r="S4" i="21" s="1"/>
  <c r="C22" i="21"/>
  <c r="C32" i="21"/>
  <c r="C12" i="21"/>
  <c r="C2" i="21"/>
  <c r="D43" i="19"/>
  <c r="D19" i="19"/>
  <c r="D31" i="19"/>
  <c r="D40" i="19"/>
  <c r="C40" i="19" s="1"/>
  <c r="D28" i="19"/>
  <c r="C28" i="19" s="1"/>
  <c r="D16" i="19"/>
  <c r="C16" i="19" s="1"/>
  <c r="D4" i="19"/>
  <c r="C4" i="19" s="1"/>
  <c r="E43" i="19"/>
  <c r="E31" i="19"/>
  <c r="E19" i="19"/>
  <c r="H4" i="16" a="1"/>
  <c r="H4" i="16" s="1"/>
  <c r="B13" i="21" s="1" a="1"/>
  <c r="H4" i="17" a="1"/>
  <c r="H4" i="17" s="1"/>
  <c r="B23" i="21" s="1" a="1"/>
  <c r="H4" i="18" a="1"/>
  <c r="H4" i="18" s="1"/>
  <c r="B33" i="21" s="1" a="1"/>
  <c r="H4" i="4" a="1"/>
  <c r="H4" i="4" s="1"/>
  <c r="B3" i="21" s="1" a="1"/>
  <c r="D46" i="21" l="1"/>
  <c r="D48" i="21"/>
  <c r="D47" i="21"/>
  <c r="K13" i="21"/>
  <c r="M15" i="21"/>
  <c r="N15" i="21" s="1"/>
  <c r="M16" i="21"/>
  <c r="N16" i="21" s="1"/>
  <c r="M18" i="21"/>
  <c r="N18" i="21" s="1"/>
  <c r="M17" i="21"/>
  <c r="N17" i="21" s="1"/>
  <c r="M19" i="21"/>
  <c r="N19" i="21" s="1"/>
  <c r="K23" i="21"/>
  <c r="M27" i="21"/>
  <c r="N27" i="21" s="1"/>
  <c r="M26" i="21"/>
  <c r="N26" i="21" s="1"/>
  <c r="M28" i="21"/>
  <c r="N28" i="21" s="1"/>
  <c r="M29" i="21"/>
  <c r="N29" i="21" s="1"/>
  <c r="M25" i="21"/>
  <c r="N25" i="21" s="1"/>
  <c r="K33" i="21"/>
  <c r="M39" i="21"/>
  <c r="N39" i="21" s="1"/>
  <c r="M35" i="21"/>
  <c r="N35" i="21" s="1"/>
  <c r="M36" i="21"/>
  <c r="N36" i="21" s="1"/>
  <c r="M37" i="21"/>
  <c r="N37" i="21" s="1"/>
  <c r="M38" i="21"/>
  <c r="N38" i="21" s="1"/>
  <c r="D45" i="21"/>
  <c r="M8" i="21"/>
  <c r="N8" i="21" s="1"/>
  <c r="M7" i="21"/>
  <c r="N7" i="21" s="1"/>
  <c r="M9" i="21"/>
  <c r="N9" i="21" s="1"/>
  <c r="M6" i="21"/>
  <c r="N6" i="21" s="1"/>
  <c r="M5" i="21"/>
  <c r="N5" i="21" s="1"/>
  <c r="R3" i="30"/>
  <c r="K13" i="30"/>
  <c r="G43" i="30" s="1"/>
  <c r="G11" i="19" s="1"/>
  <c r="R5" i="30"/>
  <c r="R4" i="30"/>
  <c r="G46" i="30" s="1"/>
  <c r="I11" i="19" s="1"/>
  <c r="S5" i="30"/>
  <c r="S3" i="30"/>
  <c r="L13" i="30"/>
  <c r="H43" i="30" s="1"/>
  <c r="G23" i="19" s="1"/>
  <c r="S4" i="30"/>
  <c r="H46" i="30" s="1"/>
  <c r="I23" i="19" s="1"/>
  <c r="T5" i="30"/>
  <c r="M13" i="30"/>
  <c r="I43" i="30" s="1"/>
  <c r="G35" i="19" s="1"/>
  <c r="T4" i="30"/>
  <c r="T3" i="30"/>
  <c r="U5" i="30"/>
  <c r="N13" i="30"/>
  <c r="J43" i="30" s="1"/>
  <c r="G47" i="19" s="1"/>
  <c r="U4" i="30"/>
  <c r="U3" i="30"/>
  <c r="B13" i="21"/>
  <c r="F18" i="21"/>
  <c r="G18" i="21" s="1"/>
  <c r="F16" i="21"/>
  <c r="G16" i="21" s="1"/>
  <c r="F19" i="21"/>
  <c r="G19" i="21" s="1"/>
  <c r="F17" i="21"/>
  <c r="G17" i="21" s="1"/>
  <c r="F15" i="21"/>
  <c r="G15" i="21" s="1"/>
  <c r="B23" i="21"/>
  <c r="F28" i="21"/>
  <c r="G28" i="21" s="1"/>
  <c r="F25" i="21"/>
  <c r="G25" i="21" s="1"/>
  <c r="F26" i="21"/>
  <c r="G26" i="21" s="1"/>
  <c r="F27" i="21"/>
  <c r="G27" i="21" s="1"/>
  <c r="F29" i="21"/>
  <c r="G29" i="21" s="1"/>
  <c r="B33" i="21"/>
  <c r="F35" i="21"/>
  <c r="G35" i="21" s="1"/>
  <c r="F37" i="21"/>
  <c r="G37" i="21" s="1"/>
  <c r="F39" i="21"/>
  <c r="G39" i="21" s="1"/>
  <c r="F36" i="21"/>
  <c r="G36" i="21" s="1"/>
  <c r="F38" i="21"/>
  <c r="G38" i="21" s="1"/>
  <c r="F8" i="21"/>
  <c r="G8" i="21" s="1"/>
  <c r="B3" i="21"/>
  <c r="F6" i="21"/>
  <c r="G6" i="21" s="1"/>
  <c r="F9" i="21"/>
  <c r="G9" i="21" s="1"/>
  <c r="F7" i="21"/>
  <c r="G7" i="21" s="1"/>
  <c r="F5" i="21"/>
  <c r="G5" i="21" s="1"/>
  <c r="I46" i="30" l="1"/>
  <c r="I35" i="19" s="1"/>
  <c r="O38" i="21"/>
  <c r="O27" i="21"/>
  <c r="O15" i="21"/>
  <c r="O36" i="21"/>
  <c r="O39" i="21"/>
  <c r="O35" i="21"/>
  <c r="O16" i="21"/>
  <c r="O18" i="21"/>
  <c r="O37" i="21"/>
  <c r="O17" i="21"/>
  <c r="O28" i="21"/>
  <c r="O8" i="21"/>
  <c r="O19" i="21"/>
  <c r="O7" i="21"/>
  <c r="O29" i="21"/>
  <c r="O25" i="21"/>
  <c r="O26" i="21"/>
  <c r="O9" i="21"/>
  <c r="O5" i="21"/>
  <c r="O6" i="21"/>
  <c r="J46" i="30"/>
  <c r="I47" i="19" s="1"/>
  <c r="H18" i="21"/>
  <c r="G20" i="21"/>
  <c r="H19" i="21"/>
  <c r="H16" i="21"/>
  <c r="H17" i="21"/>
  <c r="H15" i="21"/>
  <c r="H28" i="21"/>
  <c r="H37" i="21"/>
  <c r="H39" i="21"/>
  <c r="H27" i="21"/>
  <c r="H25" i="21"/>
  <c r="G30" i="21"/>
  <c r="H29" i="21"/>
  <c r="H26" i="21"/>
  <c r="H35" i="21"/>
  <c r="G40" i="21"/>
  <c r="H38" i="21"/>
  <c r="H36" i="21"/>
  <c r="H6" i="21"/>
  <c r="H7" i="21"/>
  <c r="H5" i="21"/>
  <c r="H9" i="21"/>
  <c r="G10" i="21"/>
  <c r="H8" i="21"/>
  <c r="N20" i="21"/>
  <c r="N30" i="21"/>
  <c r="N40" i="21"/>
  <c r="N10" i="21"/>
  <c r="O20" i="21" l="1"/>
  <c r="O40" i="21"/>
  <c r="O30" i="21"/>
  <c r="O10" i="21"/>
  <c r="Y15" i="21"/>
  <c r="E46" i="21" s="1"/>
  <c r="H20" i="21"/>
  <c r="Y35" i="21"/>
  <c r="E48" i="21" s="1"/>
  <c r="Y5" i="21"/>
  <c r="E45" i="21" s="1"/>
  <c r="Y25" i="21"/>
  <c r="E47" i="21" s="1"/>
  <c r="H40" i="21"/>
  <c r="H30" i="21"/>
  <c r="Z25" i="21" s="1"/>
  <c r="H10" i="21"/>
  <c r="Z5" i="21" s="1"/>
  <c r="Z15" i="21" l="1"/>
  <c r="F7" i="22" s="1"/>
  <c r="Z35" i="21"/>
  <c r="F9" i="22" s="1"/>
  <c r="F6" i="22"/>
  <c r="F45" i="21"/>
  <c r="F8" i="22"/>
  <c r="F47" i="21"/>
  <c r="AA25" i="21"/>
  <c r="AA5" i="21"/>
  <c r="F19" i="19" l="1"/>
  <c r="C19" i="19" s="1"/>
  <c r="F43" i="19"/>
  <c r="C43" i="19" s="1"/>
  <c r="F31" i="19"/>
  <c r="C31" i="19" s="1"/>
  <c r="F46" i="21"/>
  <c r="AA35" i="21"/>
  <c r="G48" i="21" s="1"/>
  <c r="F48" i="21"/>
  <c r="AA15" i="21"/>
  <c r="G46" i="21" s="1"/>
  <c r="F7" i="19"/>
  <c r="C7" i="19" s="1"/>
  <c r="G45" i="21"/>
  <c r="C27" i="19" s="1"/>
  <c r="C30" i="19" s="1"/>
  <c r="G47" i="21"/>
  <c r="M29" i="30" l="1"/>
  <c r="M26" i="30"/>
  <c r="M28" i="30"/>
  <c r="M25" i="30"/>
  <c r="M27" i="30"/>
  <c r="M22" i="30"/>
  <c r="M19" i="30"/>
  <c r="M21" i="30"/>
  <c r="M18" i="30"/>
  <c r="M20" i="30"/>
  <c r="M17" i="30"/>
  <c r="M10" i="30"/>
  <c r="M7" i="30"/>
  <c r="M4" i="30"/>
  <c r="M5" i="30"/>
  <c r="M9" i="30"/>
  <c r="M6" i="30"/>
  <c r="M8" i="30"/>
  <c r="F26" i="30"/>
  <c r="M3" i="30"/>
  <c r="F22" i="30"/>
  <c r="F19" i="30"/>
  <c r="F14" i="30"/>
  <c r="F11" i="30"/>
  <c r="F21" i="30"/>
  <c r="F18" i="30"/>
  <c r="F13" i="30"/>
  <c r="F20" i="30"/>
  <c r="F15" i="30"/>
  <c r="F12" i="30"/>
  <c r="F4" i="30"/>
  <c r="F5" i="30"/>
  <c r="I38" i="30" s="1"/>
  <c r="F6" i="30"/>
  <c r="F7" i="30"/>
  <c r="F8" i="30"/>
  <c r="F3" i="30"/>
  <c r="C15" i="19"/>
  <c r="C18" i="19" s="1"/>
  <c r="C39" i="19"/>
  <c r="C42" i="19" s="1"/>
  <c r="C3" i="19"/>
  <c r="I40" i="30" l="1"/>
  <c r="E35" i="19" s="1"/>
  <c r="E33" i="19"/>
  <c r="N29" i="30"/>
  <c r="N26" i="30"/>
  <c r="N28" i="30"/>
  <c r="N25" i="30"/>
  <c r="N27" i="30"/>
  <c r="L29" i="30"/>
  <c r="L26" i="30"/>
  <c r="L28" i="30"/>
  <c r="L25" i="30"/>
  <c r="L27" i="30"/>
  <c r="L20" i="30"/>
  <c r="L22" i="30"/>
  <c r="L19" i="30"/>
  <c r="L21" i="30"/>
  <c r="L18" i="30"/>
  <c r="L17" i="30"/>
  <c r="N22" i="30"/>
  <c r="N19" i="30"/>
  <c r="N21" i="30"/>
  <c r="N18" i="30"/>
  <c r="N20" i="30"/>
  <c r="N17" i="30"/>
  <c r="N10" i="30"/>
  <c r="N7" i="30"/>
  <c r="N4" i="30"/>
  <c r="N9" i="30"/>
  <c r="N6" i="30"/>
  <c r="N8" i="30"/>
  <c r="N5" i="30"/>
  <c r="L10" i="30"/>
  <c r="L7" i="30"/>
  <c r="L4" i="30"/>
  <c r="L8" i="30"/>
  <c r="L5" i="30"/>
  <c r="L9" i="30"/>
  <c r="L6" i="30"/>
  <c r="G26" i="30"/>
  <c r="N3" i="30"/>
  <c r="E26" i="30"/>
  <c r="L3" i="30"/>
  <c r="I39" i="30"/>
  <c r="E34" i="19" s="1"/>
  <c r="F25" i="30"/>
  <c r="E22" i="30"/>
  <c r="E19" i="30"/>
  <c r="H40" i="30" s="1"/>
  <c r="E23" i="19" s="1"/>
  <c r="E14" i="30"/>
  <c r="E11" i="30"/>
  <c r="E21" i="30"/>
  <c r="E18" i="30"/>
  <c r="E13" i="30"/>
  <c r="E20" i="30"/>
  <c r="E15" i="30"/>
  <c r="E12" i="30"/>
  <c r="G22" i="30"/>
  <c r="G19" i="30"/>
  <c r="G14" i="30"/>
  <c r="G11" i="30"/>
  <c r="G21" i="30"/>
  <c r="G18" i="30"/>
  <c r="G13" i="30"/>
  <c r="G20" i="30"/>
  <c r="G15" i="30"/>
  <c r="G12" i="30"/>
  <c r="G4" i="30"/>
  <c r="G5" i="30"/>
  <c r="G6" i="30"/>
  <c r="G7" i="30"/>
  <c r="G8" i="30"/>
  <c r="G3" i="30"/>
  <c r="E4" i="30"/>
  <c r="E5" i="30"/>
  <c r="H38" i="30" s="1"/>
  <c r="E21" i="19" s="1"/>
  <c r="E6" i="30"/>
  <c r="E7" i="30"/>
  <c r="E8" i="30"/>
  <c r="E3" i="30"/>
  <c r="C6" i="19"/>
  <c r="J38" i="30" l="1"/>
  <c r="E45" i="19" s="1"/>
  <c r="J40" i="30"/>
  <c r="E47" i="19" s="1"/>
  <c r="K29" i="30"/>
  <c r="K26" i="30"/>
  <c r="K28" i="30"/>
  <c r="K25" i="30"/>
  <c r="K27" i="30"/>
  <c r="I45" i="30"/>
  <c r="I34" i="19" s="1"/>
  <c r="J45" i="30"/>
  <c r="I46" i="19" s="1"/>
  <c r="K22" i="30"/>
  <c r="K19" i="30"/>
  <c r="K21" i="30"/>
  <c r="K18" i="30"/>
  <c r="K20" i="30"/>
  <c r="K17" i="30"/>
  <c r="J44" i="30"/>
  <c r="I45" i="19" s="1"/>
  <c r="K10" i="30"/>
  <c r="K7" i="30"/>
  <c r="K4" i="30"/>
  <c r="K9" i="30"/>
  <c r="K6" i="30"/>
  <c r="K8" i="30"/>
  <c r="K5" i="30"/>
  <c r="D26" i="30"/>
  <c r="J39" i="30"/>
  <c r="E46" i="19" s="1"/>
  <c r="G25" i="30"/>
  <c r="H39" i="30"/>
  <c r="E22" i="19" s="1"/>
  <c r="E25" i="30"/>
  <c r="D22" i="30"/>
  <c r="D19" i="30"/>
  <c r="D14" i="30"/>
  <c r="D11" i="30"/>
  <c r="D15" i="30"/>
  <c r="D21" i="30"/>
  <c r="D18" i="30"/>
  <c r="D13" i="30"/>
  <c r="D20" i="30"/>
  <c r="D12" i="30"/>
  <c r="I44" i="30"/>
  <c r="I33" i="19" s="1"/>
  <c r="H45" i="30"/>
  <c r="I22" i="19" s="1"/>
  <c r="H44" i="30"/>
  <c r="I21" i="19" s="1"/>
  <c r="H42" i="30"/>
  <c r="G22" i="19" s="1"/>
  <c r="K3" i="30"/>
  <c r="D3" i="30"/>
  <c r="D8" i="30"/>
  <c r="D7" i="30"/>
  <c r="D6" i="30"/>
  <c r="D5" i="30"/>
  <c r="G38" i="30" s="1"/>
  <c r="E9" i="19" s="1"/>
  <c r="D4" i="30"/>
  <c r="G44" i="30" l="1"/>
  <c r="I9" i="19" s="1"/>
  <c r="G40" i="30"/>
  <c r="E11" i="19" s="1"/>
  <c r="G45" i="30"/>
  <c r="I10" i="19" s="1"/>
  <c r="G42" i="30"/>
  <c r="G10" i="19" s="1"/>
  <c r="G39" i="30"/>
  <c r="E10" i="19" s="1"/>
  <c r="D25" i="30"/>
  <c r="G41" i="30" s="1"/>
  <c r="G9" i="19" s="1"/>
  <c r="I42" i="30"/>
  <c r="G34" i="19" s="1"/>
  <c r="J42" i="30"/>
  <c r="G46" i="19" s="1"/>
  <c r="I41" i="30"/>
  <c r="G33" i="19" s="1"/>
  <c r="J41" i="30"/>
  <c r="G45" i="19" s="1"/>
  <c r="H41" i="30"/>
  <c r="H47" i="30" l="1"/>
  <c r="H48" i="30" s="1"/>
  <c r="G21" i="19"/>
  <c r="I47" i="30"/>
  <c r="J47" i="30"/>
  <c r="G47" i="30"/>
  <c r="C20" i="19" l="1"/>
  <c r="C24" i="19" s="1"/>
  <c r="J48" i="30"/>
  <c r="C44" i="19"/>
  <c r="C48" i="19" s="1"/>
  <c r="I48" i="30"/>
  <c r="C32" i="19"/>
  <c r="C36" i="19" s="1"/>
  <c r="C8" i="19"/>
  <c r="C12" i="19" s="1"/>
  <c r="G48" i="30"/>
  <c r="L22" i="19" l="1"/>
  <c r="M22" i="19" s="1"/>
  <c r="L15" i="19"/>
  <c r="M15" i="19" s="1"/>
  <c r="L21" i="19"/>
  <c r="M21" i="19" s="1"/>
  <c r="L13" i="19"/>
  <c r="M13" i="19" s="1"/>
  <c r="L4" i="19"/>
  <c r="M4" i="19" s="1"/>
  <c r="L19" i="19"/>
  <c r="M19" i="19" s="1"/>
  <c r="L8" i="19"/>
  <c r="M8" i="19" s="1"/>
  <c r="L14" i="19"/>
  <c r="M14" i="19" s="1"/>
  <c r="L9" i="19"/>
  <c r="M9" i="19" s="1"/>
  <c r="L20" i="19"/>
  <c r="M20" i="1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<sst xmlns="http://schemas.openxmlformats.org/spreadsheetml/2006/main" count="1578" uniqueCount="193">
  <si>
    <t>Household Information</t>
  </si>
  <si>
    <t>Address</t>
  </si>
  <si>
    <t>Street</t>
  </si>
  <si>
    <t>City</t>
  </si>
  <si>
    <t>State</t>
  </si>
  <si>
    <t>Zip</t>
  </si>
  <si>
    <t>Number of Drivers (up to 4 drivers per household)</t>
  </si>
  <si>
    <t>Number of Vehicles (up to 4 vehicles per household)</t>
  </si>
  <si>
    <t>First Name</t>
  </si>
  <si>
    <t>Last Name</t>
  </si>
  <si>
    <t>Middle Initial</t>
  </si>
  <si>
    <t>Date of Birth</t>
  </si>
  <si>
    <t>License Number</t>
  </si>
  <si>
    <t>License Issue Date</t>
  </si>
  <si>
    <t>Driver 1</t>
  </si>
  <si>
    <t>Driver 2</t>
  </si>
  <si>
    <t>Driver 3</t>
  </si>
  <si>
    <t>Driver 4</t>
  </si>
  <si>
    <t>Vehicle 1</t>
  </si>
  <si>
    <t>Make</t>
  </si>
  <si>
    <t>Model</t>
  </si>
  <si>
    <t>Year</t>
  </si>
  <si>
    <t>Trim</t>
  </si>
  <si>
    <t>Current Mileage</t>
  </si>
  <si>
    <t>Expected Annual Mileage</t>
  </si>
  <si>
    <t>Toyota</t>
  </si>
  <si>
    <t>Honda</t>
  </si>
  <si>
    <t>Nissan</t>
  </si>
  <si>
    <t>Ford</t>
  </si>
  <si>
    <t>GRG</t>
  </si>
  <si>
    <t>Civic</t>
  </si>
  <si>
    <t>Accord</t>
  </si>
  <si>
    <t>HR-V</t>
  </si>
  <si>
    <t>GT-R</t>
  </si>
  <si>
    <t>Sentra</t>
  </si>
  <si>
    <t>Camry</t>
  </si>
  <si>
    <t>Mustang</t>
  </si>
  <si>
    <t>Explorer</t>
  </si>
  <si>
    <t>F-150</t>
  </si>
  <si>
    <t>Hyundai</t>
  </si>
  <si>
    <t>Elantra</t>
  </si>
  <si>
    <t>Sonata</t>
  </si>
  <si>
    <t>EcoBoost</t>
  </si>
  <si>
    <t>GT</t>
  </si>
  <si>
    <t>Base</t>
  </si>
  <si>
    <t>Sport</t>
  </si>
  <si>
    <t>Platinum</t>
  </si>
  <si>
    <t>XL</t>
  </si>
  <si>
    <t>XLT</t>
  </si>
  <si>
    <t>Lariat</t>
  </si>
  <si>
    <t>Limited</t>
  </si>
  <si>
    <t>LX</t>
  </si>
  <si>
    <t>SE</t>
  </si>
  <si>
    <t>EX</t>
  </si>
  <si>
    <t>Level</t>
  </si>
  <si>
    <t>EX-L</t>
  </si>
  <si>
    <t>Premium</t>
  </si>
  <si>
    <t>NISMO</t>
  </si>
  <si>
    <t>S</t>
  </si>
  <si>
    <t>SV</t>
  </si>
  <si>
    <t>SR</t>
  </si>
  <si>
    <t>LE</t>
  </si>
  <si>
    <t>XLE</t>
  </si>
  <si>
    <t>XSE</t>
  </si>
  <si>
    <t>Prius</t>
  </si>
  <si>
    <t>ID</t>
  </si>
  <si>
    <t>Vehicle 2</t>
  </si>
  <si>
    <t>Vehicle 3</t>
  </si>
  <si>
    <t>Vehicle 4</t>
  </si>
  <si>
    <t>Name</t>
  </si>
  <si>
    <t>License #</t>
  </si>
  <si>
    <t>Accident Date</t>
  </si>
  <si>
    <t>Liability</t>
  </si>
  <si>
    <t>Bodily Injury</t>
  </si>
  <si>
    <t>DOB</t>
  </si>
  <si>
    <t>Elizabeth Windsor</t>
  </si>
  <si>
    <t>Alicia Keys</t>
  </si>
  <si>
    <t>Billie Eilish</t>
  </si>
  <si>
    <t>Freddie Mercury</t>
  </si>
  <si>
    <t>Channing Tatum</t>
  </si>
  <si>
    <t>Daniel Radcliffe</t>
  </si>
  <si>
    <t>AK012581</t>
  </si>
  <si>
    <t>BE121801</t>
  </si>
  <si>
    <t>CT042680</t>
  </si>
  <si>
    <t>FM090546</t>
  </si>
  <si>
    <t>Gwen Stefani</t>
  </si>
  <si>
    <t>GS100369</t>
  </si>
  <si>
    <t>EW042126</t>
  </si>
  <si>
    <t>DR072389</t>
  </si>
  <si>
    <t>Y</t>
  </si>
  <si>
    <t>N</t>
  </si>
  <si>
    <t>Los Angeles Zip Codes</t>
  </si>
  <si>
    <t>ZIP</t>
  </si>
  <si>
    <t>Risk</t>
  </si>
  <si>
    <t>Rating</t>
  </si>
  <si>
    <t>High</t>
  </si>
  <si>
    <t>Medium</t>
  </si>
  <si>
    <t>Low</t>
  </si>
  <si>
    <t>All Trims</t>
  </si>
  <si>
    <t>Trims</t>
  </si>
  <si>
    <t>Date of Accident</t>
  </si>
  <si>
    <t>Violations</t>
  </si>
  <si>
    <t>Violation</t>
  </si>
  <si>
    <t>Accidents</t>
  </si>
  <si>
    <t>Drivers</t>
  </si>
  <si>
    <t>Accident Date(s)</t>
  </si>
  <si>
    <t>Violation Date(s)</t>
  </si>
  <si>
    <t>DRG</t>
  </si>
  <si>
    <t>D/C</t>
  </si>
  <si>
    <t>Years Since Acc.</t>
  </si>
  <si>
    <t>Total Points</t>
  </si>
  <si>
    <t>Years Since Viol.</t>
  </si>
  <si>
    <t>Total:</t>
  </si>
  <si>
    <t>Total</t>
  </si>
  <si>
    <t>Points</t>
  </si>
  <si>
    <t>Total DRG</t>
  </si>
  <si>
    <t>Driver Age</t>
  </si>
  <si>
    <t>Years Licensed</t>
  </si>
  <si>
    <t>Lic. Issue Date</t>
  </si>
  <si>
    <t>Multiple</t>
  </si>
  <si>
    <t>Base DRG</t>
  </si>
  <si>
    <t>Years Remaining on Record</t>
  </si>
  <si>
    <t>Primary Driver</t>
  </si>
  <si>
    <t>All Drivers</t>
  </si>
  <si>
    <t>ZIP Code</t>
  </si>
  <si>
    <t>ZIP Multiple</t>
  </si>
  <si>
    <t>One Vehicle</t>
  </si>
  <si>
    <t>&gt;1 Vehicles</t>
  </si>
  <si>
    <t>California Good Driver Discount (CGDD)</t>
  </si>
  <si>
    <t>Multi-Car Discount (MCD)</t>
  </si>
  <si>
    <t>Less than 2 points on record AND 3 or more years licensed</t>
  </si>
  <si>
    <t>2 or more points on record OR less than 3 years licensed</t>
  </si>
  <si>
    <t>Loyalty Discount (LD)</t>
  </si>
  <si>
    <t>Date first insured with Joe's Auto Insurance Company:</t>
  </si>
  <si>
    <t>Years Insured with Joe's Auto Insurance Company</t>
  </si>
  <si>
    <t># of Vehicles</t>
  </si>
  <si>
    <t>Conditions</t>
  </si>
  <si>
    <t>D/C%</t>
  </si>
  <si>
    <t>Estimated Annual Mileage</t>
  </si>
  <si>
    <t>Mileage</t>
  </si>
  <si>
    <t>Vehicle</t>
  </si>
  <si>
    <t>Final Premium Table</t>
  </si>
  <si>
    <t>Annual Premium</t>
  </si>
  <si>
    <t>Monthly Premium</t>
  </si>
  <si>
    <t>Liability: Bodily Inury (BI)</t>
  </si>
  <si>
    <t>Liability: Property Damage (PD)</t>
  </si>
  <si>
    <t>Uninsured/Underinsured Motorist: Bodily Injury (UMBI)</t>
  </si>
  <si>
    <t>Uninsured/Underinsured Motorist: Property Damage (UMPD)</t>
  </si>
  <si>
    <t>Emergency Road Service (ERS)</t>
  </si>
  <si>
    <t>Medical Coverage (M)</t>
  </si>
  <si>
    <t>30/60</t>
  </si>
  <si>
    <t>50/100</t>
  </si>
  <si>
    <t>100/300</t>
  </si>
  <si>
    <t>250/500</t>
  </si>
  <si>
    <t>500/500</t>
  </si>
  <si>
    <t>1,000/1,000</t>
  </si>
  <si>
    <t>BI</t>
  </si>
  <si>
    <t>PD</t>
  </si>
  <si>
    <t>UMBI</t>
  </si>
  <si>
    <t>UMPD</t>
  </si>
  <si>
    <t>Exclude (must sign waiver)</t>
  </si>
  <si>
    <t>Include</t>
  </si>
  <si>
    <t>M</t>
  </si>
  <si>
    <t>Comprehensive Coverage Deductible (COMP)</t>
  </si>
  <si>
    <t>Collision Coverage Deductible (COLL)</t>
  </si>
  <si>
    <t>Rental Car Coverage (R)</t>
  </si>
  <si>
    <t>COMP</t>
  </si>
  <si>
    <t>COLL</t>
  </si>
  <si>
    <t>ERS</t>
  </si>
  <si>
    <t>Exclude</t>
  </si>
  <si>
    <t>R</t>
  </si>
  <si>
    <t>30/900</t>
  </si>
  <si>
    <t>50/1,500</t>
  </si>
  <si>
    <t>100/3,000</t>
  </si>
  <si>
    <t>per person / per accident</t>
  </si>
  <si>
    <t>per accident</t>
  </si>
  <si>
    <t>matches PD</t>
  </si>
  <si>
    <t>per person</t>
  </si>
  <si>
    <t>per day / per accident</t>
  </si>
  <si>
    <t>Vehicle 1 Coverage</t>
  </si>
  <si>
    <t>Vehicle 2 Coverage</t>
  </si>
  <si>
    <t>Vehicle 3 Coverage</t>
  </si>
  <si>
    <t>Vehicle 4 Coverage</t>
  </si>
  <si>
    <t>Subtotal</t>
  </si>
  <si>
    <t>Coverage</t>
  </si>
  <si>
    <t>monthly premium</t>
  </si>
  <si>
    <t>6 month premium</t>
  </si>
  <si>
    <t>V1</t>
  </si>
  <si>
    <t>V2</t>
  </si>
  <si>
    <t>V3</t>
  </si>
  <si>
    <t>V4</t>
  </si>
  <si>
    <t>X</t>
  </si>
  <si>
    <t>GENERATE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</si>
</sst>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2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6"/>
      <name val="Aptos Narrow"/>
      <family val="2"/>
      <scheme val="minor"/>
    </font>
    <font>
      <sz val="11"/>
      <color rgb="FF75ABE1"/>
      <name val="Aptos Narrow"/>
      <family val="2"/>
      <scheme val="minor"/>
    </font>
    <font>
      <sz val="1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75ABE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21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1" fillId="0" borderId="0" xfId="1"/>
    <xf numFmtId="0" fontId="0" fillId="2" borderId="4" xfId="0" applyFill="1" applyBorder="1"/>
    <xf numFmtId="14" fontId="0" fillId="0" borderId="0" xfId="0" applyNumberFormat="1"/>
    <xf numFmtId="0" fontId="6" fillId="0" borderId="0" xfId="0" applyFont="1"/>
    <xf numFmtId="0" fontId="5" fillId="0" borderId="0" xfId="0" applyFont="1"/>
    <xf numFmtId="14" fontId="6" fillId="0" borderId="0" xfId="0" applyNumberFormat="1" applyFont="1"/>
    <xf numFmtId="0" fontId="0" fillId="0" borderId="1" xfId="0" applyBorder="1"/>
    <xf numFmtId="0" fontId="6" fillId="3" borderId="1" xfId="0" applyFont="1" applyFill="1" applyBorder="1"/>
    <xf numFmtId="0" fontId="6" fillId="3" borderId="15" xfId="0" applyFont="1" applyFill="1" applyBorder="1"/>
    <xf numFmtId="0" fontId="6" fillId="3" borderId="16" xfId="0" applyFont="1" applyFill="1" applyBorder="1"/>
    <xf numFmtId="0" fontId="6" fillId="3" borderId="17" xfId="0" applyFont="1" applyFill="1" applyBorder="1"/>
    <xf numFmtId="14" fontId="6" fillId="2" borderId="1" xfId="0" applyNumberFormat="1" applyFont="1" applyFill="1" applyBorder="1"/>
    <xf numFmtId="14" fontId="6" fillId="2" borderId="15" xfId="0" applyNumberFormat="1" applyFont="1" applyFill="1" applyBorder="1"/>
    <xf numFmtId="14" fontId="6" fillId="2" borderId="18" xfId="0" applyNumberFormat="1" applyFont="1" applyFill="1" applyBorder="1"/>
    <xf numFmtId="0" fontId="6" fillId="2" borderId="4" xfId="0" applyFont="1" applyFill="1" applyBorder="1"/>
    <xf numFmtId="0" fontId="0" fillId="2" borderId="15" xfId="0" applyFill="1" applyBorder="1"/>
    <xf numFmtId="0" fontId="0" fillId="2" borderId="18" xfId="0" applyFill="1" applyBorder="1"/>
    <xf numFmtId="14" fontId="0" fillId="2" borderId="1" xfId="0" applyNumberFormat="1" applyFill="1" applyBorder="1"/>
    <xf numFmtId="2" fontId="0" fillId="0" borderId="0" xfId="0" applyNumberFormat="1"/>
    <xf numFmtId="1" fontId="0" fillId="0" borderId="0" xfId="0" applyNumberFormat="1"/>
    <xf numFmtId="9" fontId="0" fillId="0" borderId="0" xfId="0" applyNumberFormat="1"/>
    <xf numFmtId="9" fontId="0" fillId="0" borderId="0" xfId="3" applyFont="1"/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22" xfId="0" applyNumberFormat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9" fontId="0" fillId="0" borderId="20" xfId="3" applyFont="1" applyBorder="1" applyAlignment="1">
      <alignment horizontal="center"/>
    </xf>
    <xf numFmtId="9" fontId="0" fillId="0" borderId="10" xfId="3" applyFont="1" applyBorder="1" applyAlignment="1">
      <alignment horizontal="center"/>
    </xf>
    <xf numFmtId="9" fontId="0" fillId="0" borderId="12" xfId="3" applyFont="1" applyBorder="1" applyAlignment="1">
      <alignment horizontal="center"/>
    </xf>
    <xf numFmtId="9" fontId="0" fillId="0" borderId="14" xfId="3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44" fontId="0" fillId="0" borderId="0" xfId="2" applyFont="1"/>
    <xf numFmtId="44" fontId="0" fillId="0" borderId="14" xfId="0" applyNumberFormat="1" applyBorder="1"/>
    <xf numFmtId="0" fontId="0" fillId="0" borderId="25" xfId="0" applyBorder="1"/>
    <xf numFmtId="0" fontId="0" fillId="0" borderId="26" xfId="0" applyBorder="1"/>
    <xf numFmtId="0" fontId="0" fillId="0" borderId="7" xfId="0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left"/>
    </xf>
    <xf numFmtId="0" fontId="0" fillId="0" borderId="30" xfId="0" applyBorder="1" applyAlignment="1">
      <alignment horizontal="left"/>
    </xf>
    <xf numFmtId="0" fontId="0" fillId="0" borderId="30" xfId="0" applyBorder="1"/>
    <xf numFmtId="44" fontId="0" fillId="0" borderId="30" xfId="2" applyFont="1" applyBorder="1"/>
    <xf numFmtId="0" fontId="0" fillId="0" borderId="31" xfId="0" applyBorder="1" applyAlignment="1">
      <alignment horizontal="left"/>
    </xf>
    <xf numFmtId="0" fontId="0" fillId="0" borderId="31" xfId="0" applyBorder="1"/>
    <xf numFmtId="44" fontId="0" fillId="0" borderId="31" xfId="2" applyFont="1" applyBorder="1"/>
    <xf numFmtId="0" fontId="0" fillId="0" borderId="32" xfId="0" applyBorder="1" applyAlignment="1">
      <alignment horizontal="left"/>
    </xf>
    <xf numFmtId="0" fontId="0" fillId="0" borderId="32" xfId="0" applyBorder="1"/>
    <xf numFmtId="44" fontId="0" fillId="0" borderId="32" xfId="2" applyFont="1" applyBorder="1"/>
    <xf numFmtId="3" fontId="0" fillId="0" borderId="31" xfId="0" applyNumberFormat="1" applyBorder="1" applyAlignment="1">
      <alignment horizontal="left"/>
    </xf>
    <xf numFmtId="3" fontId="0" fillId="0" borderId="32" xfId="0" applyNumberFormat="1" applyBorder="1" applyAlignment="1">
      <alignment horizontal="left"/>
    </xf>
    <xf numFmtId="44" fontId="0" fillId="0" borderId="0" xfId="0" applyNumberFormat="1"/>
    <xf numFmtId="44" fontId="0" fillId="0" borderId="0" xfId="0" applyNumberFormat="1" applyAlignment="1">
      <alignment horizontal="left"/>
    </xf>
    <xf numFmtId="0" fontId="0" fillId="0" borderId="30" xfId="0" applyBorder="1" applyAlignment="1">
      <alignment horizontal="right"/>
    </xf>
    <xf numFmtId="0" fontId="0" fillId="4" borderId="0" xfId="0" applyFill="1"/>
    <xf numFmtId="0" fontId="8" fillId="4" borderId="0" xfId="0" applyFont="1" applyFill="1"/>
    <xf numFmtId="14" fontId="0" fillId="2" borderId="2" xfId="0" applyNumberFormat="1" applyFill="1" applyBorder="1" applyAlignment="1">
      <alignment horizontal="left"/>
    </xf>
    <xf numFmtId="14" fontId="0" fillId="2" borderId="4" xfId="0" applyNumberForma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2" fillId="0" borderId="0" xfId="1" applyFont="1" applyFill="1" applyBorder="1" applyAlignment="1">
      <alignment vertical="center"/>
    </xf>
    <xf numFmtId="0" fontId="0" fillId="4" borderId="1" xfId="0" applyFill="1" applyBorder="1"/>
    <xf numFmtId="0" fontId="0" fillId="3" borderId="33" xfId="0" applyFill="1" applyBorder="1"/>
    <xf numFmtId="0" fontId="0" fillId="3" borderId="31" xfId="0" applyFill="1" applyBorder="1"/>
    <xf numFmtId="0" fontId="0" fillId="3" borderId="32" xfId="0" applyFill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" fillId="4" borderId="5" xfId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applyFill="1" applyBorder="1"/>
    <xf numFmtId="0" fontId="2" fillId="4" borderId="27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7" xfId="1" applyFont="1" applyFill="1" applyBorder="1" applyAlignment="1">
      <alignment horizontal="center" vertical="center"/>
    </xf>
    <xf numFmtId="0" fontId="2" fillId="4" borderId="28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2" fillId="4" borderId="6" xfId="1" applyFont="1" applyFill="1" applyBorder="1" applyAlignment="1">
      <alignment horizontal="center" vertical="center"/>
    </xf>
    <xf numFmtId="0" fontId="2" fillId="4" borderId="7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3" borderId="7" xfId="0" applyFill="1" applyBorder="1"/>
    <xf numFmtId="0" fontId="0" fillId="3" borderId="29" xfId="0" applyFill="1" applyBorder="1"/>
    <xf numFmtId="0" fontId="0" fillId="3" borderId="8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4" borderId="27" xfId="1" applyFont="1" applyFill="1" applyBorder="1" applyAlignment="1">
      <alignment horizontal="center" vertical="center"/>
    </xf>
    <xf numFmtId="0" fontId="7" fillId="4" borderId="28" xfId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7" xfId="0" applyBorder="1"/>
    <xf numFmtId="44" fontId="0" fillId="0" borderId="19" xfId="0" applyNumberFormat="1" applyBorder="1"/>
    <xf numFmtId="44" fontId="0" fillId="0" borderId="20" xfId="0" applyNumberFormat="1" applyBorder="1"/>
    <xf numFmtId="44" fontId="0" fillId="0" borderId="25" xfId="0" applyNumberFormat="1" applyBorder="1"/>
    <xf numFmtId="44" fontId="0" fillId="0" borderId="26" xfId="0" applyNumberFormat="1" applyBorder="1"/>
    <xf numFmtId="44" fontId="0" fillId="0" borderId="10" xfId="0" applyNumberFormat="1" applyBorder="1"/>
    <xf numFmtId="44" fontId="0" fillId="0" borderId="12" xfId="0" applyNumberFormat="1" applyBorder="1"/>
    <xf numFmtId="44" fontId="0" fillId="0" borderId="7" xfId="0" applyNumberFormat="1" applyBorder="1"/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1. Household'!H3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14.svg"/><Relationship Id="rId1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2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15.svg"/><Relationship Id="rId1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3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15.svg"/><Relationship Id="rId1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4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15.svg"/><Relationship Id="rId1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17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1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2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1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3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1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4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0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9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1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9.png"/><Relationship Id="rId1" Type="http://schemas.openxmlformats.org/officeDocument/2006/relationships/hyperlink" Target="#'4.2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1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9.png"/><Relationship Id="rId1" Type="http://schemas.openxmlformats.org/officeDocument/2006/relationships/hyperlink" Target="#'4.3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1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9.png"/><Relationship Id="rId1" Type="http://schemas.openxmlformats.org/officeDocument/2006/relationships/hyperlink" Target="#'4.4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2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24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371474</xdr:colOff>
      <xdr:row>1</xdr:row>
      <xdr:rowOff>123824</xdr:rowOff>
    </xdr:from>
    <xdr:to>
      <xdr:col>14</xdr:col>
      <xdr:colOff>552449</xdr:colOff>
      <xdr:row>48</xdr:row>
      <xdr:rowOff>95249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E56501-D4E4-CB9C-593E-A3A32C899EAB}"/>
            </a:ext>
          </a:extLst>
        </xdr:cNvPr>
        <xdr:cNvSpPr/>
      </xdr:nvSpPr>
      <xdr:spPr>
        <a:xfrm>
          <a:off x="371474" y="314324"/>
          <a:ext cx="8715375" cy="8924925"/>
        </a:xfrm>
        <a:prstGeom prst="roundRect">
          <a:avLst>
            <a:gd name="adj" fmla="val 2305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ysClr val="windowText" lastClr="000000"/>
              </a:solidFill>
            </a:rPr>
            <a:t>Welcome</a:t>
          </a:r>
          <a:r>
            <a:rPr lang="en-US" sz="2000" b="1" baseline="0">
              <a:solidFill>
                <a:sysClr val="windowText" lastClr="000000"/>
              </a:solidFill>
            </a:rPr>
            <a:t> to the Auto Insurance Premium Calculator!</a:t>
          </a: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r>
            <a:rPr lang="en-US">
              <a:solidFill>
                <a:sysClr val="windowText" lastClr="000000"/>
              </a:solidFill>
            </a:rPr>
            <a:t>This project is a dynamic, Excel-based auto insurance quoting tool designed to simulate real-world premium calculations. It allows users to build and price policies for multi-driver, multi-vehicle households using a simple, user-friendly interface powered by Excel formulas and VBA macros.</a:t>
          </a:r>
        </a:p>
        <a:p>
          <a:endParaRPr lang="en-US">
            <a:solidFill>
              <a:sysClr val="windowText" lastClr="000000"/>
            </a:solidFill>
          </a:endParaRPr>
        </a:p>
        <a:p>
          <a:r>
            <a:rPr lang="en-US" sz="1500" b="1" u="sng">
              <a:solidFill>
                <a:sysClr val="windowText" lastClr="000000"/>
              </a:solidFill>
            </a:rPr>
            <a:t>Features</a:t>
          </a:r>
        </a:p>
        <a:p>
          <a:r>
            <a:rPr lang="en-US" b="1">
              <a:solidFill>
                <a:sysClr val="windowText" lastClr="000000"/>
              </a:solidFill>
            </a:rPr>
            <a:t>Navigation Panel</a:t>
          </a:r>
        </a:p>
        <a:p>
          <a:r>
            <a:rPr lang="en-US" b="0">
              <a:solidFill>
                <a:sysClr val="windowText" lastClr="000000"/>
              </a:solidFill>
            </a:rPr>
            <a:t>-</a:t>
          </a:r>
          <a:r>
            <a:rPr lang="en-US" b="0" baseline="0">
              <a:solidFill>
                <a:sysClr val="windowText" lastClr="000000"/>
              </a:solidFill>
            </a:rPr>
            <a:t> Use the navigation panel on the left to quickly go between different pages.</a:t>
          </a:r>
          <a:endParaRPr lang="en-US" b="0">
            <a:solidFill>
              <a:sysClr val="windowText" lastClr="000000"/>
            </a:solidFill>
          </a:endParaRPr>
        </a:p>
        <a:p>
          <a:r>
            <a:rPr lang="en-US" b="1">
              <a:solidFill>
                <a:sysClr val="windowText" lastClr="000000"/>
              </a:solidFill>
            </a:rPr>
            <a:t>Multi-Driver &amp; Multi-Vehicle Support</a:t>
          </a:r>
        </a:p>
        <a:p>
          <a:r>
            <a:rPr lang="en-US">
              <a:solidFill>
                <a:sysClr val="windowText" lastClr="000000"/>
              </a:solidFill>
            </a:rPr>
            <a:t>- Select up to </a:t>
          </a:r>
          <a:r>
            <a:rPr lang="en-US" b="1">
              <a:solidFill>
                <a:sysClr val="windowText" lastClr="000000"/>
              </a:solidFill>
            </a:rPr>
            <a:t>4 drivers</a:t>
          </a:r>
          <a:r>
            <a:rPr lang="en-US">
              <a:solidFill>
                <a:sysClr val="windowText" lastClr="000000"/>
              </a:solidFill>
            </a:rPr>
            <a:t> and </a:t>
          </a:r>
          <a:r>
            <a:rPr lang="en-US" b="1">
              <a:solidFill>
                <a:sysClr val="windowText" lastClr="000000"/>
              </a:solidFill>
            </a:rPr>
            <a:t>4 vehicles</a:t>
          </a:r>
          <a:r>
            <a:rPr lang="en-US">
              <a:solidFill>
                <a:sysClr val="windowText" lastClr="000000"/>
              </a:solidFill>
            </a:rPr>
            <a:t> per household.</a:t>
          </a:r>
        </a:p>
        <a:p>
          <a:r>
            <a:rPr lang="en-US" b="1">
              <a:solidFill>
                <a:sysClr val="windowText" lastClr="000000"/>
              </a:solidFill>
            </a:rPr>
            <a:t>Driver Selection</a:t>
          </a:r>
        </a:p>
        <a:p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>
              <a:solidFill>
                <a:sysClr val="windowText" lastClr="000000"/>
              </a:solidFill>
            </a:rPr>
            <a:t>Choose from </a:t>
          </a:r>
          <a:r>
            <a:rPr lang="en-US" b="1">
              <a:solidFill>
                <a:sysClr val="windowText" lastClr="000000"/>
              </a:solidFill>
            </a:rPr>
            <a:t>7 predetermined driver profiles </a:t>
          </a:r>
          <a:r>
            <a:rPr lang="en-US" b="0">
              <a:solidFill>
                <a:sysClr val="windowText" lastClr="000000"/>
              </a:solidFill>
            </a:rPr>
            <a:t>listed</a:t>
          </a:r>
          <a:r>
            <a:rPr lang="en-US" b="0" baseline="0">
              <a:solidFill>
                <a:sysClr val="windowText" lastClr="000000"/>
              </a:solidFill>
            </a:rPr>
            <a:t> below the driver pages, </a:t>
          </a:r>
          <a:r>
            <a:rPr lang="en-US">
              <a:solidFill>
                <a:sysClr val="windowText" lastClr="000000"/>
              </a:solidFill>
            </a:rPr>
            <a:t>each with unique characteristics such as age</a:t>
          </a:r>
          <a:r>
            <a:rPr lang="en-US" baseline="0">
              <a:solidFill>
                <a:sysClr val="windowText" lastClr="000000"/>
              </a:solidFill>
            </a:rPr>
            <a:t> and driving records</a:t>
          </a:r>
          <a:r>
            <a:rPr lang="en-US">
              <a:solidFill>
                <a:sysClr val="windowText" lastClr="000000"/>
              </a:solidFill>
            </a:rPr>
            <a:t>.</a:t>
          </a:r>
        </a:p>
        <a:p>
          <a:r>
            <a:rPr lang="en-US">
              <a:solidFill>
                <a:sysClr val="windowText" lastClr="000000"/>
              </a:solidFill>
            </a:rPr>
            <a:t>- </a:t>
          </a:r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Each driver’s name can be manually entered, and their remaining details will auto-populate.</a:t>
          </a:r>
          <a:endParaRPr lang="en-US">
            <a:solidFill>
              <a:sysClr val="windowText" lastClr="000000"/>
            </a:solidFill>
          </a:endParaRPr>
        </a:p>
        <a:p>
          <a:r>
            <a:rPr lang="en-US" b="1">
              <a:solidFill>
                <a:sysClr val="windowText" lastClr="000000"/>
              </a:solidFill>
            </a:rPr>
            <a:t>Vehicle Selection</a:t>
          </a:r>
        </a:p>
        <a:p>
          <a:r>
            <a:rPr lang="en-US">
              <a:solidFill>
                <a:sysClr val="windowText" lastClr="000000"/>
              </a:solidFill>
            </a:rPr>
            <a:t>- Over </a:t>
          </a:r>
          <a:r>
            <a:rPr lang="en-US" b="1">
              <a:solidFill>
                <a:sysClr val="windowText" lastClr="000000"/>
              </a:solidFill>
            </a:rPr>
            <a:t>300+ unique vehicles</a:t>
          </a:r>
          <a:r>
            <a:rPr lang="en-US">
              <a:solidFill>
                <a:sysClr val="windowText" lastClr="000000"/>
              </a:solidFill>
            </a:rPr>
            <a:t> available via dropdown menus, including combinations of </a:t>
          </a:r>
          <a:r>
            <a:rPr lang="en-US" b="1">
              <a:solidFill>
                <a:sysClr val="windowText" lastClr="000000"/>
              </a:solidFill>
            </a:rPr>
            <a:t>year, make, model, and trim</a:t>
          </a:r>
          <a:r>
            <a:rPr lang="en-US">
              <a:solidFill>
                <a:sysClr val="windowText" lastClr="000000"/>
              </a:solidFill>
            </a:rPr>
            <a:t>.</a:t>
          </a:r>
        </a:p>
        <a:p>
          <a:r>
            <a:rPr lang="en-US" b="1">
              <a:solidFill>
                <a:sysClr val="windowText" lastClr="000000"/>
              </a:solidFill>
            </a:rPr>
            <a:t>Location &amp; ZIP Code Input</a:t>
          </a:r>
        </a:p>
        <a:p>
          <a:r>
            <a:rPr lang="en-US">
              <a:solidFill>
                <a:sysClr val="windowText" lastClr="000000"/>
              </a:solidFill>
            </a:rPr>
            <a:t>- Random addresses can be used, but ZIP codes must be within the </a:t>
          </a:r>
          <a:r>
            <a:rPr lang="en-US" b="1">
              <a:solidFill>
                <a:sysClr val="windowText" lastClr="000000"/>
              </a:solidFill>
            </a:rPr>
            <a:t>90001–90010</a:t>
          </a:r>
          <a:r>
            <a:rPr lang="en-US">
              <a:solidFill>
                <a:sysClr val="windowText" lastClr="000000"/>
              </a:solidFill>
            </a:rPr>
            <a:t> range to generate a quote.</a:t>
          </a:r>
        </a:p>
        <a:p>
          <a:r>
            <a:rPr lang="en-US" b="1">
              <a:solidFill>
                <a:sysClr val="windowText" lastClr="000000"/>
              </a:solidFill>
            </a:rPr>
            <a:t>Automated Discount Calculation</a:t>
          </a:r>
          <a:endParaRPr lang="en-US" b="0">
            <a:solidFill>
              <a:sysClr val="windowText" lastClr="000000"/>
            </a:solidFill>
          </a:endParaRPr>
        </a:p>
        <a:p>
          <a:r>
            <a:rPr lang="en-US" b="0">
              <a:solidFill>
                <a:sysClr val="windowText" lastClr="000000"/>
              </a:solidFill>
            </a:rPr>
            <a:t>-</a:t>
          </a:r>
          <a:r>
            <a:rPr lang="en-US" b="0" baseline="0">
              <a:solidFill>
                <a:sysClr val="windowText" lastClr="000000"/>
              </a:solidFill>
            </a:rPr>
            <a:t> </a:t>
          </a:r>
          <a:r>
            <a:rPr lang="en-US" b="0">
              <a:solidFill>
                <a:sysClr val="windowText" lastClr="000000"/>
              </a:solidFill>
            </a:rPr>
            <a:t>Multicar Discount: Automatically applied when more than one vehicle is selected.</a:t>
          </a:r>
        </a:p>
        <a:p>
          <a:r>
            <a:rPr lang="en-US" b="0">
              <a:solidFill>
                <a:sysClr val="windowText" lastClr="000000"/>
              </a:solidFill>
            </a:rPr>
            <a:t>-</a:t>
          </a:r>
          <a:r>
            <a:rPr lang="en-US" b="0" baseline="0">
              <a:solidFill>
                <a:sysClr val="windowText" lastClr="000000"/>
              </a:solidFill>
            </a:rPr>
            <a:t> </a:t>
          </a:r>
          <a:r>
            <a:rPr lang="en-US" b="0">
              <a:solidFill>
                <a:sysClr val="windowText" lastClr="000000"/>
              </a:solidFill>
            </a:rPr>
            <a:t>Loyalty Discount: Based on the year the household was first insured with the company.</a:t>
          </a:r>
        </a:p>
        <a:p>
          <a:r>
            <a:rPr lang="en-US" b="0">
              <a:solidFill>
                <a:sysClr val="windowText" lastClr="000000"/>
              </a:solidFill>
            </a:rPr>
            <a:t>-</a:t>
          </a:r>
          <a:r>
            <a:rPr lang="en-US" b="0" baseline="0">
              <a:solidFill>
                <a:sysClr val="windowText" lastClr="000000"/>
              </a:solidFill>
            </a:rPr>
            <a:t> </a:t>
          </a:r>
          <a:r>
            <a:rPr lang="en-US" b="0">
              <a:solidFill>
                <a:sysClr val="windowText" lastClr="000000"/>
              </a:solidFill>
            </a:rPr>
            <a:t>California Good Driver Discount: Applied </a:t>
          </a:r>
          <a:r>
            <a:rPr lang="en-US">
              <a:solidFill>
                <a:sysClr val="windowText" lastClr="000000"/>
              </a:solidFill>
            </a:rPr>
            <a:t>based on driver record and eligibility.</a:t>
          </a:r>
        </a:p>
        <a:p>
          <a:r>
            <a:rPr lang="en-US" b="1">
              <a:solidFill>
                <a:sysClr val="windowText" lastClr="000000"/>
              </a:solidFill>
            </a:rPr>
            <a:t>Dynamic Premium Generation</a:t>
          </a:r>
        </a:p>
        <a:p>
          <a:r>
            <a:rPr lang="en-US">
              <a:solidFill>
                <a:sysClr val="windowText" lastClr="000000"/>
              </a:solidFill>
            </a:rPr>
            <a:t>Premiums are calculated using a combination of: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Vehicle type and trim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Annual mileage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Driver record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ZIP code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Coverage levels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Discount eligibility</a:t>
          </a:r>
        </a:p>
        <a:p>
          <a:r>
            <a:rPr lang="en-US" b="1">
              <a:solidFill>
                <a:sysClr val="windowText" lastClr="000000"/>
              </a:solidFill>
            </a:rPr>
            <a:t>One-Click Quote Generation</a:t>
          </a:r>
        </a:p>
        <a:p>
          <a:r>
            <a:rPr lang="en-US">
              <a:solidFill>
                <a:sysClr val="windowText" lastClr="000000"/>
              </a:solidFill>
            </a:rPr>
            <a:t>- After completing all inputs, users can click </a:t>
          </a:r>
          <a:r>
            <a:rPr lang="en-US" b="1">
              <a:solidFill>
                <a:sysClr val="windowText" lastClr="000000"/>
              </a:solidFill>
            </a:rPr>
            <a:t>"Generate Quote"</a:t>
          </a:r>
          <a:r>
            <a:rPr lang="en-US" b="0" baseline="0">
              <a:solidFill>
                <a:sysClr val="windowText" lastClr="000000"/>
              </a:solidFill>
            </a:rPr>
            <a:t> on the </a:t>
          </a:r>
          <a:r>
            <a:rPr lang="en-US" b="1" baseline="0">
              <a:solidFill>
                <a:sysClr val="windowText" lastClr="000000"/>
              </a:solidFill>
            </a:rPr>
            <a:t>"Final Quote"</a:t>
          </a:r>
          <a:r>
            <a:rPr lang="en-US" b="0" baseline="0">
              <a:solidFill>
                <a:sysClr val="windowText" lastClr="000000"/>
              </a:solidFill>
            </a:rPr>
            <a:t> page</a:t>
          </a:r>
          <a:r>
            <a:rPr lang="en-US">
              <a:solidFill>
                <a:sysClr val="windowText" lastClr="000000"/>
              </a:solidFill>
            </a:rPr>
            <a:t> to receive a complete premium summary.</a:t>
          </a:r>
        </a:p>
        <a:p>
          <a:endParaRPr lang="en-US">
            <a:solidFill>
              <a:sysClr val="windowText" lastClr="000000"/>
            </a:solidFill>
          </a:endParaRPr>
        </a:p>
        <a:p>
          <a:r>
            <a:rPr lang="en-US" sz="1500" b="1" u="sng">
              <a:solidFill>
                <a:sysClr val="windowText" lastClr="000000"/>
              </a:solidFill>
            </a:rPr>
            <a:t>Built With</a:t>
          </a:r>
        </a:p>
        <a:p>
          <a:r>
            <a:rPr lang="en-US" b="0">
              <a:solidFill>
                <a:sysClr val="windowText" lastClr="000000"/>
              </a:solidFill>
            </a:rPr>
            <a:t>- </a:t>
          </a:r>
          <a:r>
            <a:rPr lang="en-US" b="1">
              <a:solidFill>
                <a:sysClr val="windowText" lastClr="000000"/>
              </a:solidFill>
            </a:rPr>
            <a:t>Excel Formulas</a:t>
          </a:r>
          <a:r>
            <a:rPr lang="en-US">
              <a:solidFill>
                <a:sysClr val="windowText" lastClr="000000"/>
              </a:solidFill>
            </a:rPr>
            <a:t>: </a:t>
          </a: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</a:t>
          </a:r>
          <a:r>
            <a:rPr lang="en-US">
              <a:solidFill>
                <a:sysClr val="windowText" lastClr="000000"/>
              </a:solidFill>
            </a:rPr>
            <a:t>, nested logic, </a:t>
          </a: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XLOOKUP</a:t>
          </a:r>
          <a:r>
            <a:rPr lang="en-US">
              <a:solidFill>
                <a:sysClr val="windowText" lastClr="000000"/>
              </a:solidFill>
            </a:rPr>
            <a:t>, </a:t>
          </a: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VLOOKUP</a:t>
          </a:r>
          <a:r>
            <a:rPr lang="en-US">
              <a:solidFill>
                <a:sysClr val="windowText" lastClr="000000"/>
              </a:solidFill>
            </a:rPr>
            <a:t>, and data validation for dropdowns.</a:t>
          </a:r>
        </a:p>
        <a:p>
          <a:r>
            <a:rPr lang="en-US" b="0">
              <a:solidFill>
                <a:sysClr val="windowText" lastClr="000000"/>
              </a:solidFill>
            </a:rPr>
            <a:t>- </a:t>
          </a:r>
          <a:r>
            <a:rPr lang="en-US" b="1">
              <a:solidFill>
                <a:sysClr val="windowText" lastClr="000000"/>
              </a:solidFill>
            </a:rPr>
            <a:t>VBA Macros</a:t>
          </a:r>
          <a:r>
            <a:rPr lang="en-US">
              <a:solidFill>
                <a:sysClr val="windowText" lastClr="000000"/>
              </a:solidFill>
            </a:rPr>
            <a:t>: For auto-populating driver info, calculating premiums, and generating the final quote.</a:t>
          </a:r>
        </a:p>
        <a:p>
          <a:r>
            <a:rPr lang="en-US" b="0">
              <a:solidFill>
                <a:sysClr val="windowText" lastClr="000000"/>
              </a:solidFill>
            </a:rPr>
            <a:t>- </a:t>
          </a:r>
          <a:r>
            <a:rPr lang="en-US" b="1">
              <a:solidFill>
                <a:sysClr val="windowText" lastClr="000000"/>
              </a:solidFill>
            </a:rPr>
            <a:t>User Interface Enhancements</a:t>
          </a:r>
          <a:r>
            <a:rPr lang="en-US">
              <a:solidFill>
                <a:sysClr val="windowText" lastClr="000000"/>
              </a:solidFill>
            </a:rPr>
            <a:t>: Hyperlinks, button triggers, and structured input layout for intuitive navigation.</a:t>
          </a:r>
        </a:p>
        <a:p>
          <a:endParaRPr lang="en-US">
            <a:solidFill>
              <a:sysClr val="windowText" lastClr="000000"/>
            </a:solidFill>
          </a:endParaRPr>
        </a:p>
        <a:p>
          <a:r>
            <a:rPr lang="en-US" sz="1500" b="1" u="sng">
              <a:solidFill>
                <a:sysClr val="windowText" lastClr="000000"/>
              </a:solidFill>
            </a:rPr>
            <a:t>Notes</a:t>
          </a:r>
        </a:p>
        <a:p>
          <a:r>
            <a:rPr lang="en-US">
              <a:solidFill>
                <a:sysClr val="windowText" lastClr="000000"/>
              </a:solidFill>
            </a:rPr>
            <a:t>- All calculations and pricing logic were self-designed.</a:t>
          </a:r>
        </a:p>
        <a:p>
          <a:r>
            <a:rPr lang="en-US">
              <a:solidFill>
                <a:sysClr val="windowText" lastClr="000000"/>
              </a:solidFill>
            </a:rPr>
            <a:t>- Ideal for showcasing data modeling, automation, and Excel/VBA capabilities in a finance or insurance context.</a:t>
          </a:r>
        </a:p>
        <a:p>
          <a:r>
            <a:rPr lang="en-US">
              <a:solidFill>
                <a:sysClr val="windowText" lastClr="000000"/>
              </a:solidFill>
            </a:rPr>
            <a:t>- All</a:t>
          </a:r>
          <a:r>
            <a:rPr lang="en-US" baseline="0">
              <a:solidFill>
                <a:sysClr val="windowText" lastClr="000000"/>
              </a:solidFill>
            </a:rPr>
            <a:t> sheets used to hold background calculations and data have been hidden. Feel free to unhide and look through any of the sheets for a more comprehensive view of the overall system.</a:t>
          </a:r>
          <a:endParaRPr lang="en-US">
            <a:solidFill>
              <a:sysClr val="windowText" lastClr="000000"/>
            </a:solidFill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390524</xdr:colOff>
      <xdr:row>43</xdr:row>
      <xdr:rowOff>47625</xdr:rowOff>
    </xdr:from>
    <xdr:to>
      <xdr:col>8</xdr:col>
      <xdr:colOff>533399</xdr:colOff>
      <xdr:row>46</xdr:row>
      <xdr:rowOff>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379515-6FB8-BE2C-059C-326D5B9A1F08}"/>
            </a:ext>
          </a:extLst>
        </xdr:cNvPr>
        <xdr:cNvSpPr/>
      </xdr:nvSpPr>
      <xdr:spPr>
        <a:xfrm>
          <a:off x="4048124" y="8239125"/>
          <a:ext cx="1362075" cy="52387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19" name="Group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63C4D0-0CFA-99E0-0AC4-6DA716449A7C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63AD0B2F-6C67-4FD4-9D82-4F1C6FF9DD8C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8" name="Graphic 7" descr="List with solid fill">
            <a:extLst>
              <a:ext uri="{FF2B5EF4-FFF2-40B4-BE49-F238E27FC236}">
                <a16:creationId xmlns:a16="http://schemas.microsoft.com/office/drawing/2014/main" id="{CC374D4D-34CC-3094-2139-DBB0AB9ABB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2</xdr:row>
      <xdr:rowOff>19050</xdr:rowOff>
    </xdr:from>
    <xdr:to>
      <xdr:col>1</xdr:col>
      <xdr:colOff>238125</xdr:colOff>
      <xdr:row>5</xdr:row>
      <xdr:rowOff>180975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69108DC0-58D4-D3DB-4B6F-27F9514E4A64}"/>
            </a:ext>
          </a:extLst>
        </xdr:cNvPr>
        <xdr:cNvSpPr/>
      </xdr:nvSpPr>
      <xdr:spPr>
        <a:xfrm>
          <a:off x="228600" y="419100"/>
          <a:ext cx="2390775" cy="7620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2" name="Group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BEAA536-59B7-3DA4-E09A-8BAC293D3DFD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B3441153-CCB2-0ACD-11B8-3E44CCFB66FF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tx2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tx2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10" name="Graphic 9" descr="Home with solid fill">
            <a:extLst>
              <a:ext uri="{FF2B5EF4-FFF2-40B4-BE49-F238E27FC236}">
                <a16:creationId xmlns:a16="http://schemas.microsoft.com/office/drawing/2014/main" id="{08DD4C0D-2E18-75BE-53CD-06756D4E1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1" name="Group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D292B11-85A6-DEC5-C067-D2B283DC30B2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CA898A8-AEAC-4245-8EF2-E8460C1FEE86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12" name="Graphic 11" descr="User with solid fill">
            <a:extLst>
              <a:ext uri="{FF2B5EF4-FFF2-40B4-BE49-F238E27FC236}">
                <a16:creationId xmlns:a16="http://schemas.microsoft.com/office/drawing/2014/main" id="{1546D445-6D19-8102-8618-9DF11A5AFC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0" name="Group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B95D07F-FA8B-DD23-D669-164E26BD35A3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48AE2E4B-1C4F-4DC8-A83A-28E57F56BBB9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14" name="Graphic 13" descr="Car with solid fill">
            <a:extLst>
              <a:ext uri="{FF2B5EF4-FFF2-40B4-BE49-F238E27FC236}">
                <a16:creationId xmlns:a16="http://schemas.microsoft.com/office/drawing/2014/main" id="{E4BA40E1-2907-C116-3599-3B006734F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19050</xdr:rowOff>
    </xdr:from>
    <xdr:to>
      <xdr:col>1</xdr:col>
      <xdr:colOff>276225</xdr:colOff>
      <xdr:row>95</xdr:row>
      <xdr:rowOff>19050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5A015744-43C1-D15F-404B-A5DCF5052FDD}"/>
            </a:ext>
          </a:extLst>
        </xdr:cNvPr>
        <xdr:cNvSpPr/>
      </xdr:nvSpPr>
      <xdr:spPr>
        <a:xfrm>
          <a:off x="2390775" y="19050"/>
          <a:ext cx="266700" cy="1823085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2" name="Group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5FB5D02-86ED-4642-9BFD-D45B56C87F14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CBD77D0-BDE8-5BBD-EDFF-9DCFFC1D0596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9" name="Graphic 8" descr="Checkmark with solid fill">
            <a:extLst>
              <a:ext uri="{FF2B5EF4-FFF2-40B4-BE49-F238E27FC236}">
                <a16:creationId xmlns:a16="http://schemas.microsoft.com/office/drawing/2014/main" id="{C2641174-81D5-DB4F-817C-105CE613D0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6CFF8E-5AE8-4D76-82EB-A85BDD039ACB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3F88CCE9-EF55-5ED5-5891-1B684C6DE12E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" name="Graphic 3" descr="List with solid fill">
            <a:extLst>
              <a:ext uri="{FF2B5EF4-FFF2-40B4-BE49-F238E27FC236}">
                <a16:creationId xmlns:a16="http://schemas.microsoft.com/office/drawing/2014/main" id="{B11C7DC4-3563-9715-98F5-C55D86CC76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7</xdr:row>
      <xdr:rowOff>95250</xdr:rowOff>
    </xdr:from>
    <xdr:to>
      <xdr:col>1</xdr:col>
      <xdr:colOff>238125</xdr:colOff>
      <xdr:row>11</xdr:row>
      <xdr:rowOff>66675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E7DAF370-B59B-49E7-8F31-FD09A90EAD0D}"/>
            </a:ext>
          </a:extLst>
        </xdr:cNvPr>
        <xdr:cNvSpPr/>
      </xdr:nvSpPr>
      <xdr:spPr>
        <a:xfrm>
          <a:off x="228600" y="14287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5" name="Group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CF73DF-105A-4192-8210-87CAFBD77BBB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32C04019-5689-3849-9362-2408E0412B1D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7" name="Graphic 6" descr="Home with solid fill">
            <a:extLst>
              <a:ext uri="{FF2B5EF4-FFF2-40B4-BE49-F238E27FC236}">
                <a16:creationId xmlns:a16="http://schemas.microsoft.com/office/drawing/2014/main" id="{2EE8E91B-9938-9169-5630-FF82A20736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8" name="Group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E1DDB1-C215-4719-901B-943CA4D51E26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79BDD90-95CF-5372-6A26-0ECC2DB05969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10" name="Graphic 9" descr="User with solid fill">
            <a:extLst>
              <a:ext uri="{FF2B5EF4-FFF2-40B4-BE49-F238E27FC236}">
                <a16:creationId xmlns:a16="http://schemas.microsoft.com/office/drawing/2014/main" id="{E3F92C4B-58E4-6FC0-6078-DB6B594E0E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11" name="Group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E17A441-D679-48F6-8AFE-2B87DFF868D6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F4193943-122F-04F2-51B3-C77684ADBC52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13" name="Graphic 12" descr="Car with solid fill">
            <a:extLst>
              <a:ext uri="{FF2B5EF4-FFF2-40B4-BE49-F238E27FC236}">
                <a16:creationId xmlns:a16="http://schemas.microsoft.com/office/drawing/2014/main" id="{14FF31BB-0D06-C649-71D6-9A16E62D9C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494484F7-E528-43C8-B3EB-BE31CEC402E3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18" name="Group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9BD8AA2-2D27-45C5-8E56-09A8B0E2EAC4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62648D05-6EC5-8D78-946A-4FC518F360B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20" name="Graphic 19" descr="Checkmark with solid fill">
            <a:extLst>
              <a:ext uri="{FF2B5EF4-FFF2-40B4-BE49-F238E27FC236}">
                <a16:creationId xmlns:a16="http://schemas.microsoft.com/office/drawing/2014/main" id="{5CF839E8-3080-5F06-483C-D42EFD5B2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35" name="Group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C5BB44-EAD5-43E9-8E22-18FAC04F9C4D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C44B0EC0-3194-CC80-26E6-25F7221D3789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37" name="Graphic 36" descr="List with solid fill">
            <a:extLst>
              <a:ext uri="{FF2B5EF4-FFF2-40B4-BE49-F238E27FC236}">
                <a16:creationId xmlns:a16="http://schemas.microsoft.com/office/drawing/2014/main" id="{8CCBCD6E-EB1F-4EF9-326D-40A6CDB7FB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7</xdr:row>
      <xdr:rowOff>95250</xdr:rowOff>
    </xdr:from>
    <xdr:to>
      <xdr:col>1</xdr:col>
      <xdr:colOff>238125</xdr:colOff>
      <xdr:row>11</xdr:row>
      <xdr:rowOff>66675</xdr:rowOff>
    </xdr:to>
    <xdr:sp macro="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C90A6654-F58D-494A-9472-B2C382AB5786}"/>
            </a:ext>
          </a:extLst>
        </xdr:cNvPr>
        <xdr:cNvSpPr/>
      </xdr:nvSpPr>
      <xdr:spPr>
        <a:xfrm>
          <a:off x="228600" y="14287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39" name="Group 3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DE5C959-6C04-4C2A-AD85-42E9E098F227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78551A8D-173A-01E2-9EA3-98803359A61A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41" name="Graphic 40" descr="Home with solid fill">
            <a:extLst>
              <a:ext uri="{FF2B5EF4-FFF2-40B4-BE49-F238E27FC236}">
                <a16:creationId xmlns:a16="http://schemas.microsoft.com/office/drawing/2014/main" id="{69EE8DB4-E4F8-E42F-2268-AF67FB7593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42" name="Group 4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D05042A-1C9E-41BE-98F3-A2EAC6EC803C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4186AF80-9FC2-A113-F8E1-BCFED16D8758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44" name="Graphic 43" descr="User with solid fill">
            <a:extLst>
              <a:ext uri="{FF2B5EF4-FFF2-40B4-BE49-F238E27FC236}">
                <a16:creationId xmlns:a16="http://schemas.microsoft.com/office/drawing/2014/main" id="{C19B6D4D-8D7F-2299-560E-A6282E28D0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45" name="Group 4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86EFBDE-6C5B-4F72-BE8E-50538F62E5AD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42B10A2A-3212-B8C2-149F-645AD8394E3F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47" name="Graphic 46" descr="Car with solid fill">
            <a:extLst>
              <a:ext uri="{FF2B5EF4-FFF2-40B4-BE49-F238E27FC236}">
                <a16:creationId xmlns:a16="http://schemas.microsoft.com/office/drawing/2014/main" id="{391524F2-027B-A488-7CFB-A3340E5778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42B220DF-B6F1-41B2-964F-CF1A1789E24F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5822232-0384-4C36-BC74-91D15A050D3F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4B944E7-762A-90FB-C512-0D3CE32E75F5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5E36D20B-D417-3E66-1F30-435255DAE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1" name="Group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7438F4-52BE-4914-9855-061D3A555677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29F8F49F-2479-4347-D8C8-B901071F120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3" name="Graphic 22" descr="List with solid fill">
            <a:extLst>
              <a:ext uri="{FF2B5EF4-FFF2-40B4-BE49-F238E27FC236}">
                <a16:creationId xmlns:a16="http://schemas.microsoft.com/office/drawing/2014/main" id="{11D019B9-DBE7-C578-0F7C-F10FCB458F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7</xdr:row>
      <xdr:rowOff>95250</xdr:rowOff>
    </xdr:from>
    <xdr:to>
      <xdr:col>1</xdr:col>
      <xdr:colOff>238125</xdr:colOff>
      <xdr:row>11</xdr:row>
      <xdr:rowOff>66675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AF6AAD2F-643B-47EC-972C-B4560C06C831}"/>
            </a:ext>
          </a:extLst>
        </xdr:cNvPr>
        <xdr:cNvSpPr/>
      </xdr:nvSpPr>
      <xdr:spPr>
        <a:xfrm>
          <a:off x="228600" y="14287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5" name="Group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ED7967-45B9-45D6-8272-5FABCE1EF087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9E721FE8-9111-16CF-C134-A801B3BFF856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7" name="Graphic 26" descr="Home with solid fill">
            <a:extLst>
              <a:ext uri="{FF2B5EF4-FFF2-40B4-BE49-F238E27FC236}">
                <a16:creationId xmlns:a16="http://schemas.microsoft.com/office/drawing/2014/main" id="{410D06F2-74AC-FDA5-CBCF-D275BE134E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8" name="Group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EB04CDB-C2AB-48F6-BED0-D2272F551E31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6E08338A-8909-C905-432C-6673283DC7FB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30" name="Graphic 29" descr="User with solid fill">
            <a:extLst>
              <a:ext uri="{FF2B5EF4-FFF2-40B4-BE49-F238E27FC236}">
                <a16:creationId xmlns:a16="http://schemas.microsoft.com/office/drawing/2014/main" id="{C0D15310-3A2F-DC1F-EF99-0B3A54DEE9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31" name="Group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647C26E-EF1C-4F03-A402-D8E10F25035F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43738157-8D20-C9F1-6901-09977E9D30FB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3" name="Graphic 32" descr="Car with solid fill">
            <a:extLst>
              <a:ext uri="{FF2B5EF4-FFF2-40B4-BE49-F238E27FC236}">
                <a16:creationId xmlns:a16="http://schemas.microsoft.com/office/drawing/2014/main" id="{BCF947A0-14C8-4FED-4CD5-D6BD20CE80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A5D71A17-4707-41A3-B46C-5C697460784C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96E0182-95CB-4B0E-AECD-9A79B9D61CCB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B2C34EC-B12B-4EED-7677-BA21996F5358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4182BEAF-EC6B-2916-CFC8-416203B789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1" name="Group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0092B-9A1A-4A8B-B0C4-84DA87112561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570B81D1-31CD-642C-0A22-BA5D69073428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3" name="Graphic 22" descr="List with solid fill">
            <a:extLst>
              <a:ext uri="{FF2B5EF4-FFF2-40B4-BE49-F238E27FC236}">
                <a16:creationId xmlns:a16="http://schemas.microsoft.com/office/drawing/2014/main" id="{2CF82292-7CE9-A90C-E8B9-18B421C5E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7</xdr:row>
      <xdr:rowOff>95250</xdr:rowOff>
    </xdr:from>
    <xdr:to>
      <xdr:col>1</xdr:col>
      <xdr:colOff>238125</xdr:colOff>
      <xdr:row>11</xdr:row>
      <xdr:rowOff>66675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83234C23-50BB-4AE9-AFC1-09F666700C12}"/>
            </a:ext>
          </a:extLst>
        </xdr:cNvPr>
        <xdr:cNvSpPr/>
      </xdr:nvSpPr>
      <xdr:spPr>
        <a:xfrm>
          <a:off x="228600" y="14287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5" name="Group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98F7A3-88AC-4710-93C7-175D90C3982D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BACFA232-6803-5F39-BF30-34A297075513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7" name="Graphic 26" descr="Home with solid fill">
            <a:extLst>
              <a:ext uri="{FF2B5EF4-FFF2-40B4-BE49-F238E27FC236}">
                <a16:creationId xmlns:a16="http://schemas.microsoft.com/office/drawing/2014/main" id="{EF980946-2DB2-25EE-9FE1-7983B1D16B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8" name="Group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0671627-5B65-4BA7-9973-B27F15B546FF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9DB46CDA-E5AA-F878-AB32-F5170E928ED9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30" name="Graphic 29" descr="User with solid fill">
            <a:extLst>
              <a:ext uri="{FF2B5EF4-FFF2-40B4-BE49-F238E27FC236}">
                <a16:creationId xmlns:a16="http://schemas.microsoft.com/office/drawing/2014/main" id="{386BEE10-4EAA-5DFA-D2EC-68452F9F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31" name="Group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E54EE8B-9611-4E62-9158-BB00583B6166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4E3C0E63-9A47-9AC4-8116-E99642558510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3" name="Graphic 32" descr="Car with solid fill">
            <a:extLst>
              <a:ext uri="{FF2B5EF4-FFF2-40B4-BE49-F238E27FC236}">
                <a16:creationId xmlns:a16="http://schemas.microsoft.com/office/drawing/2014/main" id="{413C9108-CACE-34F8-7BCD-310AD45D34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82B6559D-CD9D-4AC3-A549-7DE6DFEACB70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D07FF03-93F5-4931-988C-2AFF4EF12E2E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DB930097-0B07-8B80-BF7A-C875543CEF9F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191279DD-D181-D59C-BD9D-74306B6337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04603F-47E4-47E9-B96C-CF3D9EF0811D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D60C35A-0E56-03FF-CDA6-916792FC579D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" name="Graphic 3" descr="List with solid fill">
            <a:extLst>
              <a:ext uri="{FF2B5EF4-FFF2-40B4-BE49-F238E27FC236}">
                <a16:creationId xmlns:a16="http://schemas.microsoft.com/office/drawing/2014/main" id="{44BB64F3-9018-EB01-0A74-D90BF88A4A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5" name="Group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00C9E9-7540-4365-AA82-5825F928EE70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703D88CC-38A0-CE64-9D26-55B03ECCDDA3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7" name="Graphic 6" descr="Home with solid fill">
            <a:extLst>
              <a:ext uri="{FF2B5EF4-FFF2-40B4-BE49-F238E27FC236}">
                <a16:creationId xmlns:a16="http://schemas.microsoft.com/office/drawing/2014/main" id="{F9E88CA6-FD62-CE41-6B2D-CCE8EE852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8" name="Group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23E12D-17CB-413E-BDBF-634FC9165D84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B04CF30-D959-163D-BB30-7B37B10DCACE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10" name="Graphic 9" descr="User with solid fill">
            <a:extLst>
              <a:ext uri="{FF2B5EF4-FFF2-40B4-BE49-F238E27FC236}">
                <a16:creationId xmlns:a16="http://schemas.microsoft.com/office/drawing/2014/main" id="{52CBAA81-F1EE-EAB1-0CCF-15C82171FC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12</xdr:row>
      <xdr:rowOff>104775</xdr:rowOff>
    </xdr:from>
    <xdr:to>
      <xdr:col>1</xdr:col>
      <xdr:colOff>238125</xdr:colOff>
      <xdr:row>16</xdr:row>
      <xdr:rowOff>76200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41A34BE3-628C-4141-856A-73D928E20EAC}"/>
            </a:ext>
          </a:extLst>
        </xdr:cNvPr>
        <xdr:cNvSpPr/>
      </xdr:nvSpPr>
      <xdr:spPr>
        <a:xfrm>
          <a:off x="228600" y="2390775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11" name="Group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1E8D46F-584F-4871-8741-42E4630E3C90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CA4BE88C-D9C9-960B-CADD-D1C6277965BE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13" name="Graphic 12" descr="Car with solid fill">
            <a:extLst>
              <a:ext uri="{FF2B5EF4-FFF2-40B4-BE49-F238E27FC236}">
                <a16:creationId xmlns:a16="http://schemas.microsoft.com/office/drawing/2014/main" id="{612F18FE-862A-65F2-3A16-FD01E8679D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6DDB7901-26F9-466F-BA95-808886073075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20" name="Group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666ED41-210C-4CE9-ACDA-7384B1CA774B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BBBA63FB-BEB0-1470-DE25-772CB026CB8B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22" name="Graphic 21" descr="Checkmark with solid fill">
            <a:extLst>
              <a:ext uri="{FF2B5EF4-FFF2-40B4-BE49-F238E27FC236}">
                <a16:creationId xmlns:a16="http://schemas.microsoft.com/office/drawing/2014/main" id="{2FBCFF9D-0A15-ADA5-C35F-AF144A5A3A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38" name="Group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3E0783-9C07-48C0-998D-33B43C32E0FE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C09DB917-2183-C1EC-AD19-D3496B9DB81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0" name="Graphic 39" descr="List with solid fill">
            <a:extLst>
              <a:ext uri="{FF2B5EF4-FFF2-40B4-BE49-F238E27FC236}">
                <a16:creationId xmlns:a16="http://schemas.microsoft.com/office/drawing/2014/main" id="{8E5441F9-E666-4D59-453A-471FE31759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41" name="Group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59D281-14AF-4D9B-885B-C8636AA1470C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DC7E8676-DCF9-F7CD-C27C-7059F39DF359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43" name="Graphic 42" descr="Home with solid fill">
            <a:extLst>
              <a:ext uri="{FF2B5EF4-FFF2-40B4-BE49-F238E27FC236}">
                <a16:creationId xmlns:a16="http://schemas.microsoft.com/office/drawing/2014/main" id="{43C1A1AC-D132-60E1-581E-5B4E445A9B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44" name="Group 4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D046265-91C3-46D0-8F43-E74AF0D8D932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37843186-F211-8F7F-AFA6-49BA7D9B52E2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46" name="Graphic 45" descr="User with solid fill">
            <a:extLst>
              <a:ext uri="{FF2B5EF4-FFF2-40B4-BE49-F238E27FC236}">
                <a16:creationId xmlns:a16="http://schemas.microsoft.com/office/drawing/2014/main" id="{F8135074-CB9E-6F8E-2E20-8EE92E11A6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12</xdr:row>
      <xdr:rowOff>104775</xdr:rowOff>
    </xdr:from>
    <xdr:to>
      <xdr:col>1</xdr:col>
      <xdr:colOff>238125</xdr:colOff>
      <xdr:row>16</xdr:row>
      <xdr:rowOff>76200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15B6A991-000C-43C8-B2BA-D43BA8327610}"/>
            </a:ext>
          </a:extLst>
        </xdr:cNvPr>
        <xdr:cNvSpPr/>
      </xdr:nvSpPr>
      <xdr:spPr>
        <a:xfrm>
          <a:off x="228600" y="2390775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48" name="Group 4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50F2395-6B3E-447D-BE19-17D7A669E4EF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E6CC6048-D9DF-40D8-FA90-3FC4D3AFBB12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50" name="Graphic 49" descr="Car with solid fill">
            <a:extLst>
              <a:ext uri="{FF2B5EF4-FFF2-40B4-BE49-F238E27FC236}">
                <a16:creationId xmlns:a16="http://schemas.microsoft.com/office/drawing/2014/main" id="{EDC19ACD-2501-20C6-BFCF-6FF8787678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7D3FE5D6-C383-4F77-B518-D45121B104CD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9F02001-7638-472F-A235-6213D48ED6EE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3F8FFA8-F360-3281-70F9-726D8FCB4A6F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37FD8B94-51F3-8B79-05A0-618B3A4EC5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19" name="Group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E20199-17C1-4691-9F1C-5308D1DB4A49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9F968529-1EEC-8796-7649-B56C496AB6BE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1" name="Graphic 20" descr="List with solid fill">
            <a:extLst>
              <a:ext uri="{FF2B5EF4-FFF2-40B4-BE49-F238E27FC236}">
                <a16:creationId xmlns:a16="http://schemas.microsoft.com/office/drawing/2014/main" id="{59829E23-7E52-2022-31BB-81C1B45EEA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2" name="Group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528A21-D1BF-46A1-A93C-86C19A63CCEB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30FF1183-FE68-A8CD-EB49-FE01ECD15473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4" name="Graphic 23" descr="Home with solid fill">
            <a:extLst>
              <a:ext uri="{FF2B5EF4-FFF2-40B4-BE49-F238E27FC236}">
                <a16:creationId xmlns:a16="http://schemas.microsoft.com/office/drawing/2014/main" id="{7A201E55-80B3-99C1-48C0-205B84CE27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5" name="Group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B3D1476-18AA-44B5-824B-2804FDBC4D52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5C492889-8877-AACF-AAB4-89664178DA1F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7" name="Graphic 26" descr="User with solid fill">
            <a:extLst>
              <a:ext uri="{FF2B5EF4-FFF2-40B4-BE49-F238E27FC236}">
                <a16:creationId xmlns:a16="http://schemas.microsoft.com/office/drawing/2014/main" id="{0028DA46-E4C6-B3C5-4777-B0DBC4E31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12</xdr:row>
      <xdr:rowOff>104775</xdr:rowOff>
    </xdr:from>
    <xdr:to>
      <xdr:col>1</xdr:col>
      <xdr:colOff>238125</xdr:colOff>
      <xdr:row>16</xdr:row>
      <xdr:rowOff>76200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8E858007-9A45-4E7D-9293-CA55C71CE38E}"/>
            </a:ext>
          </a:extLst>
        </xdr:cNvPr>
        <xdr:cNvSpPr/>
      </xdr:nvSpPr>
      <xdr:spPr>
        <a:xfrm>
          <a:off x="228600" y="2390775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9" name="Group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695C3B-4387-4ACA-BC47-329F254A5FD7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51692AE6-8C55-5EAC-FF41-50949E2BD4C6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1" name="Graphic 30" descr="Car with solid fill">
            <a:extLst>
              <a:ext uri="{FF2B5EF4-FFF2-40B4-BE49-F238E27FC236}">
                <a16:creationId xmlns:a16="http://schemas.microsoft.com/office/drawing/2014/main" id="{8F1C638E-0B83-28C1-CF87-D27B8552C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D205506-3CE3-4DD6-839F-79F55BFA2D10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640CF0B-7175-49EC-A6AB-00EF76690396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37873451-F8DF-C130-D5AF-441ECC584B2E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919B2357-77B5-9328-F65D-6738A3977A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19" name="Group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65913C-7DBD-4596-BF73-C076C76A24DB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D50777F0-B0B4-C17D-7D4E-AE513A69FE7E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1" name="Graphic 20" descr="List with solid fill">
            <a:extLst>
              <a:ext uri="{FF2B5EF4-FFF2-40B4-BE49-F238E27FC236}">
                <a16:creationId xmlns:a16="http://schemas.microsoft.com/office/drawing/2014/main" id="{59023109-E6CE-0B97-C8F2-578F8BA29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2" name="Group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82CDEC-95C9-4EFB-8DE9-C94213CF7F17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F4C85EF-47FE-F1CE-920C-B59F105D6DCE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4" name="Graphic 23" descr="Home with solid fill">
            <a:extLst>
              <a:ext uri="{FF2B5EF4-FFF2-40B4-BE49-F238E27FC236}">
                <a16:creationId xmlns:a16="http://schemas.microsoft.com/office/drawing/2014/main" id="{4793F113-AB1F-2441-D08F-D0B6C96341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5" name="Group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7B8CD0A-8E50-4994-88A1-4A32FCB2146A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6E23759C-53C2-57E2-A582-9444BCF158A6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7" name="Graphic 26" descr="User with solid fill">
            <a:extLst>
              <a:ext uri="{FF2B5EF4-FFF2-40B4-BE49-F238E27FC236}">
                <a16:creationId xmlns:a16="http://schemas.microsoft.com/office/drawing/2014/main" id="{938A1CCD-9DAB-B134-46E7-81A41B3D1E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12</xdr:row>
      <xdr:rowOff>104775</xdr:rowOff>
    </xdr:from>
    <xdr:to>
      <xdr:col>1</xdr:col>
      <xdr:colOff>238125</xdr:colOff>
      <xdr:row>16</xdr:row>
      <xdr:rowOff>76200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BA5B7CFA-C7FE-4392-B968-F527C12D823F}"/>
            </a:ext>
          </a:extLst>
        </xdr:cNvPr>
        <xdr:cNvSpPr/>
      </xdr:nvSpPr>
      <xdr:spPr>
        <a:xfrm>
          <a:off x="228600" y="2390775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9" name="Group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D26F19F-B463-43B1-AF21-EE1FAA7F5F7E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2E48AA5-E9EE-2C7B-85DE-39501AFF45B5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1" name="Graphic 30" descr="Car with solid fill">
            <a:extLst>
              <a:ext uri="{FF2B5EF4-FFF2-40B4-BE49-F238E27FC236}">
                <a16:creationId xmlns:a16="http://schemas.microsoft.com/office/drawing/2014/main" id="{74E8664D-8771-71B9-5F11-54B9952600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D9B439D-B059-49C8-B630-5ACB38E0E0EE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884C482-98F4-4F53-908F-E2070B75A40B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D486A82-3849-F497-299E-A0ADDABEEC32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87C2BC3C-4973-1916-2DA0-8699C4A8E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57150</xdr:rowOff>
    </xdr:from>
    <xdr:to>
      <xdr:col>1</xdr:col>
      <xdr:colOff>238125</xdr:colOff>
      <xdr:row>22</xdr:row>
      <xdr:rowOff>28575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4E33B494-459F-437E-AA89-C73266691A93}"/>
            </a:ext>
          </a:extLst>
        </xdr:cNvPr>
        <xdr:cNvSpPr/>
      </xdr:nvSpPr>
      <xdr:spPr>
        <a:xfrm>
          <a:off x="228600" y="34861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634593-03D1-49ED-91D2-836AE1DFEE7E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3F7A3D57-1990-A51F-63FF-AC0D22586965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" name="Graphic 3" descr="List with solid fill">
            <a:extLst>
              <a:ext uri="{FF2B5EF4-FFF2-40B4-BE49-F238E27FC236}">
                <a16:creationId xmlns:a16="http://schemas.microsoft.com/office/drawing/2014/main" id="{12B36E7A-DFB7-EF0F-7582-ACB3DF073A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5" name="Group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4A5A43-44C4-4D3C-96DB-DD512F863D89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4418E297-8720-0BA3-0C16-9D0FFD27BD27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7" name="Graphic 6" descr="Home with solid fill">
            <a:extLst>
              <a:ext uri="{FF2B5EF4-FFF2-40B4-BE49-F238E27FC236}">
                <a16:creationId xmlns:a16="http://schemas.microsoft.com/office/drawing/2014/main" id="{A18647D2-0A6B-ACE1-4F8B-D81C6EB64E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8" name="Group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373BA14-CA97-4E6D-BE0E-069745C13A6B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D3D4414D-E775-773E-6BEA-378961B25A25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10" name="Graphic 9" descr="User with solid fill">
            <a:extLst>
              <a:ext uri="{FF2B5EF4-FFF2-40B4-BE49-F238E27FC236}">
                <a16:creationId xmlns:a16="http://schemas.microsoft.com/office/drawing/2014/main" id="{1F1A52C8-0071-4111-50BD-1355D13157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11" name="Group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FEBF852-D144-4185-AA28-F76CDA4723C9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F7100E8-A5CA-F9DE-60A7-D72CF0E8FB31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13" name="Graphic 12" descr="Car with solid fill">
            <a:extLst>
              <a:ext uri="{FF2B5EF4-FFF2-40B4-BE49-F238E27FC236}">
                <a16:creationId xmlns:a16="http://schemas.microsoft.com/office/drawing/2014/main" id="{E4F5A86D-59B7-4D8C-5FF2-7331E4F27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686B16FA-165E-456C-A848-25EE51E822AE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24" name="Group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E5D14FC-707C-4C12-9AF2-7751F00F7C5E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D47ADB50-7A28-9815-3699-91CF0102247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26" name="Graphic 25" descr="Checkmark with solid fill">
            <a:extLst>
              <a:ext uri="{FF2B5EF4-FFF2-40B4-BE49-F238E27FC236}">
                <a16:creationId xmlns:a16="http://schemas.microsoft.com/office/drawing/2014/main" id="{5A10A257-4CAD-0B76-E224-6633558117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57150</xdr:rowOff>
    </xdr:from>
    <xdr:to>
      <xdr:col>1</xdr:col>
      <xdr:colOff>238125</xdr:colOff>
      <xdr:row>22</xdr:row>
      <xdr:rowOff>28575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69A9E6F3-9490-4ECF-8E29-2FF6F665BA83}"/>
            </a:ext>
          </a:extLst>
        </xdr:cNvPr>
        <xdr:cNvSpPr/>
      </xdr:nvSpPr>
      <xdr:spPr>
        <a:xfrm>
          <a:off x="228600" y="34861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1" name="Group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059ABF-84AB-42D4-A713-799E8B4AB90E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B94C6A96-5939-1FF7-C62E-BCE2898D2E69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3" name="Graphic 22" descr="List with solid fill">
            <a:extLst>
              <a:ext uri="{FF2B5EF4-FFF2-40B4-BE49-F238E27FC236}">
                <a16:creationId xmlns:a16="http://schemas.microsoft.com/office/drawing/2014/main" id="{7423E23B-149D-4F0C-6E97-F2585F0520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4" name="Group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4E88BD9-0F15-439A-851C-0CACB0E52805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338B6FAE-75CA-88DA-1A26-8201ABA7177C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6" name="Graphic 25" descr="Home with solid fill">
            <a:extLst>
              <a:ext uri="{FF2B5EF4-FFF2-40B4-BE49-F238E27FC236}">
                <a16:creationId xmlns:a16="http://schemas.microsoft.com/office/drawing/2014/main" id="{3B9209F1-7ADA-FF0B-ACB2-19A1B096E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7" name="Group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E6CAE45-6498-4AA3-BAC2-F72227757EAB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2B0A1466-6634-9C23-9F5C-F532CB426899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9" name="Graphic 28" descr="User with solid fill">
            <a:extLst>
              <a:ext uri="{FF2B5EF4-FFF2-40B4-BE49-F238E27FC236}">
                <a16:creationId xmlns:a16="http://schemas.microsoft.com/office/drawing/2014/main" id="{5E404926-C098-81FA-7561-C8BE05707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30" name="Group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B97E98-4BF0-47E7-8B23-44AC5301D4CE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7A120303-04FE-F0F5-6C5C-878E2CD5D507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2" name="Graphic 31" descr="Car with solid fill">
            <a:extLst>
              <a:ext uri="{FF2B5EF4-FFF2-40B4-BE49-F238E27FC236}">
                <a16:creationId xmlns:a16="http://schemas.microsoft.com/office/drawing/2014/main" id="{D3998F2B-4E98-3C02-0FE8-6D2281B811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AB5845E-6252-4635-A166-F189C4E51D6D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02FF5F7-C0EC-4AFC-9AA2-2843E7CC31CA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D0C58D4F-1364-CE26-EE51-2F42EABE9D34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62DF52EA-F0D9-433D-ECAB-DA63D1DE31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57150</xdr:rowOff>
    </xdr:from>
    <xdr:to>
      <xdr:col>1</xdr:col>
      <xdr:colOff>238125</xdr:colOff>
      <xdr:row>22</xdr:row>
      <xdr:rowOff>28575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39B4845-7FCD-4AD2-9DE3-9D978A80F23C}"/>
            </a:ext>
          </a:extLst>
        </xdr:cNvPr>
        <xdr:cNvSpPr/>
      </xdr:nvSpPr>
      <xdr:spPr>
        <a:xfrm>
          <a:off x="228600" y="34861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0" name="Group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D9D8AA-4D31-4BE5-8DB1-0A3E7C3C50A0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BBCDFE3F-F1D3-6D15-9098-007C1076B286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2" name="Graphic 21" descr="List with solid fill">
            <a:extLst>
              <a:ext uri="{FF2B5EF4-FFF2-40B4-BE49-F238E27FC236}">
                <a16:creationId xmlns:a16="http://schemas.microsoft.com/office/drawing/2014/main" id="{6C513936-3183-A89B-337E-E5C935CAF2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3" name="Group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9C8AF5-55C3-40F6-8979-51CA46A33EF7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404F3CCB-7DA6-211F-8736-25C980639CF1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5" name="Graphic 24" descr="Home with solid fill">
            <a:extLst>
              <a:ext uri="{FF2B5EF4-FFF2-40B4-BE49-F238E27FC236}">
                <a16:creationId xmlns:a16="http://schemas.microsoft.com/office/drawing/2014/main" id="{956DDECF-6989-728F-CAD5-6C4CB267E2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6" name="Group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8347323-3758-47D3-8EE8-4FBBA3901B42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7F4E9F9E-C9A3-A51C-D9C4-21EE6D2FE156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8" name="Graphic 27" descr="User with solid fill">
            <a:extLst>
              <a:ext uri="{FF2B5EF4-FFF2-40B4-BE49-F238E27FC236}">
                <a16:creationId xmlns:a16="http://schemas.microsoft.com/office/drawing/2014/main" id="{1A94B887-3A6E-B53C-28C0-07E48F073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9" name="Group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971CE63-1E6A-4704-801D-CDF7465123C0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241626AE-E53C-03DD-7E35-F72C2CCF1FBD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1" name="Graphic 30" descr="Car with solid fill">
            <a:extLst>
              <a:ext uri="{FF2B5EF4-FFF2-40B4-BE49-F238E27FC236}">
                <a16:creationId xmlns:a16="http://schemas.microsoft.com/office/drawing/2014/main" id="{A7C0E4C3-7A39-CC99-72CF-2AB388B540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8B586826-3823-43EB-A478-D7E121607298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1B970EB-E78D-475A-B29D-7844894AFF8B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F9859AAB-37C9-15D0-EFE5-86A719E8542D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F8B22760-3C09-C14C-6DF1-922D9ADCA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57150</xdr:rowOff>
    </xdr:from>
    <xdr:to>
      <xdr:col>1</xdr:col>
      <xdr:colOff>238125</xdr:colOff>
      <xdr:row>22</xdr:row>
      <xdr:rowOff>28575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DE31AA2D-BB9D-4370-BB9D-F3BD8028338C}"/>
            </a:ext>
          </a:extLst>
        </xdr:cNvPr>
        <xdr:cNvSpPr/>
      </xdr:nvSpPr>
      <xdr:spPr>
        <a:xfrm>
          <a:off x="228600" y="34861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0" name="Group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152A43-55CB-4EB4-9E11-EC82A2FFB95C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93C489E7-3A4E-C72B-E751-ADB992FCE6FB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2" name="Graphic 21" descr="List with solid fill">
            <a:extLst>
              <a:ext uri="{FF2B5EF4-FFF2-40B4-BE49-F238E27FC236}">
                <a16:creationId xmlns:a16="http://schemas.microsoft.com/office/drawing/2014/main" id="{FEA090D2-B409-34D2-6BC2-FA68FB657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3" name="Group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6BCFCD-07DF-42AE-B8D9-C603AE3D00CD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51EF3C72-681A-9608-31EA-F7F5205F3B2E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5" name="Graphic 24" descr="Home with solid fill">
            <a:extLst>
              <a:ext uri="{FF2B5EF4-FFF2-40B4-BE49-F238E27FC236}">
                <a16:creationId xmlns:a16="http://schemas.microsoft.com/office/drawing/2014/main" id="{2D597AE9-5782-CFF9-5184-050A2F80DD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6" name="Group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897C08D-B967-4457-B264-CD307822093D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464E5F0A-872D-BDD9-688F-EA6BB9DF6116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8" name="Graphic 27" descr="User with solid fill">
            <a:extLst>
              <a:ext uri="{FF2B5EF4-FFF2-40B4-BE49-F238E27FC236}">
                <a16:creationId xmlns:a16="http://schemas.microsoft.com/office/drawing/2014/main" id="{07539CD6-605D-C302-DD40-62C98711A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9" name="Group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DE87B0B-98EB-46C1-BE00-74102F228ABC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5387E6E1-9774-14A0-286F-89D5DF239BF7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1" name="Graphic 30" descr="Car with solid fill">
            <a:extLst>
              <a:ext uri="{FF2B5EF4-FFF2-40B4-BE49-F238E27FC236}">
                <a16:creationId xmlns:a16="http://schemas.microsoft.com/office/drawing/2014/main" id="{59F4E458-6A44-F2B8-A8D5-6E75354AA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2DDF76CF-BB90-439B-AEBA-D2B442E225FC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0F4D97E-3A48-4069-B2A4-B1F1C0DE8AE2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FAEFA7B0-9D97-A5F3-EFEF-1F13FA4F120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49E01B93-B0B7-9F0B-95C6-7F1D7C02B6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1133475</xdr:colOff>
          <xdr:row>11</xdr:row>
          <xdr:rowOff>180975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F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Start Again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228600</xdr:colOff>
      <xdr:row>23</xdr:row>
      <xdr:rowOff>152400</xdr:rowOff>
    </xdr:from>
    <xdr:to>
      <xdr:col>1</xdr:col>
      <xdr:colOff>238125</xdr:colOff>
      <xdr:row>27</xdr:row>
      <xdr:rowOff>123825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B2A47254-D9DC-44BC-8200-6F088F0ADEDE}"/>
            </a:ext>
          </a:extLst>
        </xdr:cNvPr>
        <xdr:cNvSpPr/>
      </xdr:nvSpPr>
      <xdr:spPr>
        <a:xfrm>
          <a:off x="228600" y="453390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40" name="Group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02A0BC-E8AD-460E-BA16-B70A71FF9735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C35860A7-AFE7-0677-5FC6-F84300FA087C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2" name="Graphic 41" descr="List with solid fill">
            <a:extLst>
              <a:ext uri="{FF2B5EF4-FFF2-40B4-BE49-F238E27FC236}">
                <a16:creationId xmlns:a16="http://schemas.microsoft.com/office/drawing/2014/main" id="{8C531F17-E7A3-2D8F-4C53-A0FB747E5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43" name="Group 4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16A630F-B082-46C9-9075-DEB537EFB519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6F3A5B29-CA74-02B4-DFB1-BC16F49E9553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45" name="Graphic 44" descr="Home with solid fill">
            <a:extLst>
              <a:ext uri="{FF2B5EF4-FFF2-40B4-BE49-F238E27FC236}">
                <a16:creationId xmlns:a16="http://schemas.microsoft.com/office/drawing/2014/main" id="{1B5CC751-E570-F6EB-DE3B-0BF74896D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46" name="Group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0F84973-A76B-42D5-8B85-F359655FDDBE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9DB6FB89-7465-156E-3659-08528D392641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48" name="Graphic 47" descr="User with solid fill">
            <a:extLst>
              <a:ext uri="{FF2B5EF4-FFF2-40B4-BE49-F238E27FC236}">
                <a16:creationId xmlns:a16="http://schemas.microsoft.com/office/drawing/2014/main" id="{7C6E374A-68A7-4744-1B8F-DE5CB099AE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49" name="Group 4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BF38477-2462-45C1-AF61-135807CC4421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DCED622E-B12E-AB8C-AEF1-DD87205CDA48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51" name="Graphic 50" descr="Car with solid fill">
            <a:extLst>
              <a:ext uri="{FF2B5EF4-FFF2-40B4-BE49-F238E27FC236}">
                <a16:creationId xmlns:a16="http://schemas.microsoft.com/office/drawing/2014/main" id="{D5D6F822-4C34-1C04-26F4-CFE31D5B9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2C92D0C3-8E9A-4916-B209-E85F8E5637E6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53" name="Group 5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702DE3B-2FBD-4953-8B24-BA1DCBFA0692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426B8E93-7C56-EF0D-8875-6F47B9CB7CE6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55" name="Graphic 54" descr="Checkmark with solid fill">
            <a:extLst>
              <a:ext uri="{FF2B5EF4-FFF2-40B4-BE49-F238E27FC236}">
                <a16:creationId xmlns:a16="http://schemas.microsoft.com/office/drawing/2014/main" id="{714A5B6F-38C7-AD32-9D1E-6A6A810060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0B48A23-2413-42B5-8AB1-BD0A659E7598}" name="tblDrivers" displayName="tblDrivers" ref="B3:E10" totalsRowShown="0" headerRowDxfId="15" dataDxfId="14">
  <autoFilter ref="B3:E10" xr:uid="{70B48A23-2413-42B5-8AB1-BD0A659E7598}"/>
  <tableColumns count="4">
    <tableColumn id="1" xr3:uid="{6F23511E-FF87-48A0-A9E1-39860FA31844}" name="Name" dataDxfId="13"/>
    <tableColumn id="2" xr3:uid="{C373A2D8-BFBA-4E11-858B-4C41E7246D49}" name="DOB" dataDxfId="12"/>
    <tableColumn id="3" xr3:uid="{D3871451-9287-4489-940F-2A96C926FE3C}" name="License #" dataDxfId="11"/>
    <tableColumn id="8" xr3:uid="{8A5F4966-E68D-4F0F-81E9-910C5328AB5D}" name="Lic. Issue Date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81550E9-CBF5-421E-8E10-1B3C029B0EBF}" name="tblAccidents" displayName="tblAccidents" ref="G3:J11" totalsRowShown="0" headerRowDxfId="9" dataDxfId="8">
  <autoFilter ref="G3:J11" xr:uid="{A81550E9-CBF5-421E-8E10-1B3C029B0EBF}"/>
  <tableColumns count="4">
    <tableColumn id="3" xr3:uid="{D64A06FB-28E3-4F49-9410-A62FABC24D72}" name="License #" dataDxfId="7"/>
    <tableColumn id="5" xr3:uid="{5D2E6328-9521-4C92-9915-6B2607463E13}" name="Accident Date" dataDxfId="6"/>
    <tableColumn id="6" xr3:uid="{176BEA66-7A56-4030-83F4-2149FADC4DBE}" name="Liability" dataDxfId="5"/>
    <tableColumn id="7" xr3:uid="{4C8BCF35-F0E6-4081-A5F9-0FF1408B2AF0}" name="Bodily Injury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D7B1121-76CA-40D5-BC50-7C6EF671E124}" name="tblViolations" displayName="tblViolations" ref="L3:M10" totalsRowShown="0" headerRowDxfId="3" dataDxfId="2">
  <autoFilter ref="L3:M10" xr:uid="{DD7B1121-76CA-40D5-BC50-7C6EF671E124}"/>
  <tableColumns count="2">
    <tableColumn id="3" xr3:uid="{A65979D8-4F13-47E9-A9E8-DDB051BD063D}" name="License #" dataDxfId="1"/>
    <tableColumn id="5" xr3:uid="{B7CD919C-9CF5-48BE-A97F-0CBC216547E8}" name="Accident 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22B19-0015-4C00-A449-14358ECC599B}">
  <sheetPr codeName="Sheet1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4F30A-457F-4FFA-9067-5167B9AB0F36}">
  <sheetPr codeName="Sheet3"/>
  <dimension ref="A1:I34"/>
  <sheetViews>
    <sheetView showGridLines="0" zoomScaleNormal="100" workbookViewId="0">
      <selection activeCell="H3" sqref="H3"/>
    </sheetView>
  </sheetViews>
  <sheetFormatPr defaultRowHeight="15" x14ac:dyDescent="0.25"/>
  <cols>
    <col min="1" max="1" width="35.7109375" style="61" customWidth="1"/>
    <col min="3" max="8" width="10.7109375" customWidth="1"/>
  </cols>
  <sheetData>
    <row r="1" spans="3:8" ht="15" customHeight="1" thickBot="1" x14ac:dyDescent="0.3"/>
    <row r="2" spans="3:8" ht="15" customHeight="1" thickBot="1" x14ac:dyDescent="0.3">
      <c r="C2" s="71" t="s">
        <v>0</v>
      </c>
      <c r="D2" s="72"/>
      <c r="E2" s="72"/>
      <c r="F2" s="72"/>
      <c r="G2" s="72"/>
      <c r="H2" s="73"/>
    </row>
    <row r="3" spans="3:8" ht="15" customHeight="1" thickBot="1" x14ac:dyDescent="0.3">
      <c r="C3" s="80" t="s">
        <v>6</v>
      </c>
      <c r="D3" s="81"/>
      <c r="E3" s="81"/>
      <c r="F3" s="81"/>
      <c r="G3" s="82"/>
      <c r="H3" s="2"/>
    </row>
    <row r="4" spans="3:8" ht="15" customHeight="1" thickBot="1" x14ac:dyDescent="0.3">
      <c r="C4" s="80" t="s">
        <v>7</v>
      </c>
      <c r="D4" s="81"/>
      <c r="E4" s="81"/>
      <c r="F4" s="81"/>
      <c r="G4" s="82"/>
      <c r="H4" s="2"/>
    </row>
    <row r="5" spans="3:8" ht="15" customHeight="1" thickBot="1" x14ac:dyDescent="0.3"/>
    <row r="6" spans="3:8" ht="15" customHeight="1" thickBot="1" x14ac:dyDescent="0.3">
      <c r="C6" s="79" t="s">
        <v>1</v>
      </c>
      <c r="D6" s="79"/>
      <c r="E6" s="79"/>
      <c r="F6" s="79"/>
      <c r="G6" s="79"/>
      <c r="H6" s="79"/>
    </row>
    <row r="7" spans="3:8" ht="15" customHeight="1" thickBot="1" x14ac:dyDescent="0.3">
      <c r="C7" s="1" t="s">
        <v>2</v>
      </c>
      <c r="D7" s="78"/>
      <c r="E7" s="78"/>
      <c r="F7" s="78"/>
      <c r="G7" s="78"/>
      <c r="H7" s="78"/>
    </row>
    <row r="8" spans="3:8" ht="15" customHeight="1" thickBot="1" x14ac:dyDescent="0.3">
      <c r="C8" s="1" t="s">
        <v>3</v>
      </c>
      <c r="D8" s="78"/>
      <c r="E8" s="78"/>
      <c r="F8" s="78"/>
      <c r="G8" s="78"/>
      <c r="H8" s="78"/>
    </row>
    <row r="9" spans="3:8" ht="15" customHeight="1" thickBot="1" x14ac:dyDescent="0.3">
      <c r="C9" s="1" t="s">
        <v>4</v>
      </c>
      <c r="D9" s="78"/>
      <c r="E9" s="78"/>
      <c r="F9" s="78"/>
      <c r="G9" s="78"/>
      <c r="H9" s="78"/>
    </row>
    <row r="10" spans="3:8" ht="15" customHeight="1" thickBot="1" x14ac:dyDescent="0.3">
      <c r="C10" s="1" t="s">
        <v>5</v>
      </c>
      <c r="D10" s="78"/>
      <c r="E10" s="78"/>
      <c r="F10" s="78"/>
      <c r="G10" s="78"/>
      <c r="H10" s="78"/>
    </row>
    <row r="11" spans="3:8" ht="15" customHeight="1" thickBot="1" x14ac:dyDescent="0.3"/>
    <row r="12" spans="3:8" ht="15" customHeight="1" thickBot="1" x14ac:dyDescent="0.3">
      <c r="C12" s="83" t="s">
        <v>133</v>
      </c>
      <c r="D12" s="81"/>
      <c r="E12" s="81"/>
      <c r="F12" s="81"/>
      <c r="G12" s="82"/>
      <c r="H12" s="20"/>
    </row>
    <row r="13" spans="3:8" ht="15" customHeight="1" x14ac:dyDescent="0.25"/>
    <row r="14" spans="3:8" ht="15" customHeight="1" thickBot="1" x14ac:dyDescent="0.3"/>
    <row r="15" spans="3:8" ht="15" customHeight="1" x14ac:dyDescent="0.25">
      <c r="G15" s="74" t="str">
        <f>HYPERLINK("#'2.1 Driver'!E3", "NEXT")</f>
        <v>NEXT</v>
      </c>
      <c r="H15" s="75"/>
    </row>
    <row r="16" spans="3:8" ht="15" customHeight="1" thickBot="1" x14ac:dyDescent="0.3">
      <c r="G16" s="76"/>
      <c r="H16" s="77"/>
    </row>
    <row r="17" spans="9:9" ht="15" customHeight="1" x14ac:dyDescent="0.25"/>
    <row r="18" spans="9:9" ht="15" customHeight="1" x14ac:dyDescent="0.25"/>
    <row r="19" spans="9:9" ht="15" customHeight="1" x14ac:dyDescent="0.25"/>
    <row r="20" spans="9:9" ht="15" customHeight="1" x14ac:dyDescent="0.25"/>
    <row r="21" spans="9:9" ht="15" customHeight="1" x14ac:dyDescent="0.25"/>
    <row r="22" spans="9:9" ht="15" customHeight="1" x14ac:dyDescent="0.25"/>
    <row r="23" spans="9:9" ht="15" customHeight="1" x14ac:dyDescent="0.25"/>
    <row r="24" spans="9:9" ht="15" customHeight="1" x14ac:dyDescent="0.25">
      <c r="I24" s="3"/>
    </row>
    <row r="25" spans="9:9" ht="15" customHeight="1" x14ac:dyDescent="0.25"/>
    <row r="26" spans="9:9" ht="15" customHeight="1" x14ac:dyDescent="0.25"/>
    <row r="27" spans="9:9" ht="15" customHeight="1" x14ac:dyDescent="0.25"/>
    <row r="28" spans="9:9" ht="15" customHeight="1" x14ac:dyDescent="0.25"/>
    <row r="29" spans="9:9" ht="15" customHeight="1" x14ac:dyDescent="0.25"/>
    <row r="30" spans="9:9" ht="15" customHeight="1" x14ac:dyDescent="0.25"/>
    <row r="31" spans="9:9" ht="15" customHeight="1" x14ac:dyDescent="0.25"/>
    <row r="32" spans="9:9" ht="15" customHeight="1" x14ac:dyDescent="0.25"/>
    <row r="33" ht="15" customHeight="1" x14ac:dyDescent="0.25"/>
    <row r="34" ht="15" customHeight="1" x14ac:dyDescent="0.25"/>
  </sheetData>
  <mergeCells count="10">
    <mergeCell ref="C2:H2"/>
    <mergeCell ref="G15:H16"/>
    <mergeCell ref="D10:H10"/>
    <mergeCell ref="C6:H6"/>
    <mergeCell ref="C3:G3"/>
    <mergeCell ref="C4:G4"/>
    <mergeCell ref="D7:H7"/>
    <mergeCell ref="D8:H8"/>
    <mergeCell ref="D9:H9"/>
    <mergeCell ref="C12:G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AE10-404E-4EEF-95E4-6C09F8AF6CDC}">
  <sheetPr codeName="Sheet4"/>
  <dimension ref="A1:N34"/>
  <sheetViews>
    <sheetView showGridLines="0" workbookViewId="0">
      <selection activeCell="N11" sqref="N11:N12"/>
    </sheetView>
  </sheetViews>
  <sheetFormatPr defaultRowHeight="15" x14ac:dyDescent="0.25"/>
  <cols>
    <col min="1" max="1" width="35.7109375" style="61" customWidth="1"/>
    <col min="3" max="3" width="17" bestFit="1" customWidth="1"/>
    <col min="5" max="5" width="10.42578125" bestFit="1" customWidth="1"/>
    <col min="8" max="9" width="15.5703125" bestFit="1" customWidth="1"/>
    <col min="10" max="10" width="7.85546875" bestFit="1" customWidth="1"/>
    <col min="11" max="11" width="11.85546875" bestFit="1" customWidth="1"/>
    <col min="12" max="12" width="11.85546875" customWidth="1"/>
    <col min="13" max="13" width="15.28515625" bestFit="1" customWidth="1"/>
    <col min="14" max="14" width="16" bestFit="1" customWidth="1"/>
  </cols>
  <sheetData>
    <row r="1" spans="3:14" ht="15" customHeight="1" thickBot="1" x14ac:dyDescent="0.3"/>
    <row r="2" spans="3:14" ht="15" customHeight="1" thickBot="1" x14ac:dyDescent="0.3">
      <c r="C2" s="71" t="s">
        <v>14</v>
      </c>
      <c r="D2" s="72"/>
      <c r="E2" s="72"/>
      <c r="F2" s="73"/>
      <c r="H2" s="79" t="s">
        <v>103</v>
      </c>
      <c r="I2" s="79"/>
      <c r="J2" s="79"/>
      <c r="K2" s="79"/>
      <c r="M2" s="79" t="s">
        <v>101</v>
      </c>
      <c r="N2" s="79"/>
    </row>
    <row r="3" spans="3:14" ht="15" customHeight="1" thickBot="1" x14ac:dyDescent="0.3">
      <c r="C3" s="80" t="s">
        <v>8</v>
      </c>
      <c r="D3" s="82"/>
      <c r="E3" s="88"/>
      <c r="F3" s="89"/>
      <c r="H3" s="10" t="s">
        <v>12</v>
      </c>
      <c r="I3" s="11" t="s">
        <v>105</v>
      </c>
      <c r="J3" s="12" t="s">
        <v>72</v>
      </c>
      <c r="K3" s="13" t="s">
        <v>73</v>
      </c>
      <c r="L3" s="6"/>
      <c r="M3" s="10" t="s">
        <v>12</v>
      </c>
      <c r="N3" s="10" t="s">
        <v>106</v>
      </c>
    </row>
    <row r="4" spans="3:14" ht="15" customHeight="1" thickBot="1" x14ac:dyDescent="0.3">
      <c r="C4" s="80" t="s">
        <v>9</v>
      </c>
      <c r="D4" s="82"/>
      <c r="E4" s="88"/>
      <c r="F4" s="89"/>
      <c r="H4" s="14" t="str" cm="1">
        <f t="array" ref="H4">_xlfn._xlws.FILTER(tblAccidents[], tblAccidents[License '#]=$E$7, "")</f>
        <v/>
      </c>
      <c r="I4" s="15"/>
      <c r="J4" s="16"/>
      <c r="K4" s="17"/>
      <c r="L4" s="6"/>
      <c r="M4" s="2" t="str" cm="1">
        <f t="array" ref="M4">_xlfn._xlws.FILTER(tblViolations[], tblViolations[License '#]=$E$7, "")</f>
        <v/>
      </c>
      <c r="N4" s="20"/>
    </row>
    <row r="5" spans="3:14" ht="15" customHeight="1" thickBot="1" x14ac:dyDescent="0.3">
      <c r="C5" s="80" t="s">
        <v>10</v>
      </c>
      <c r="D5" s="82"/>
      <c r="E5" s="88"/>
      <c r="F5" s="89"/>
      <c r="H5" s="2"/>
      <c r="I5" s="18"/>
      <c r="J5" s="19"/>
      <c r="K5" s="4"/>
      <c r="M5" s="2"/>
      <c r="N5" s="2"/>
    </row>
    <row r="6" spans="3:14" ht="15" customHeight="1" thickBot="1" x14ac:dyDescent="0.3">
      <c r="C6" s="80" t="s">
        <v>11</v>
      </c>
      <c r="D6" s="82"/>
      <c r="E6" s="63" t="e" cm="1">
        <f t="array" ref="E6">TRANSPOSE(_xlfn.XLOOKUP(_xlfn.TEXTJOIN(" ", TRUE, E3:F4), tblDrivers[Name], tblDrivers[[DOB]:[Lic. Issue Date]]))</f>
        <v>#N/A</v>
      </c>
      <c r="F6" s="64"/>
      <c r="H6" s="2"/>
      <c r="I6" s="18"/>
      <c r="J6" s="19"/>
      <c r="K6" s="4"/>
      <c r="M6" s="2"/>
      <c r="N6" s="2"/>
    </row>
    <row r="7" spans="3:14" ht="15" customHeight="1" thickBot="1" x14ac:dyDescent="0.3">
      <c r="C7" s="80" t="s">
        <v>12</v>
      </c>
      <c r="D7" s="82"/>
      <c r="E7" s="63"/>
      <c r="F7" s="64"/>
      <c r="H7" s="2"/>
      <c r="I7" s="18"/>
      <c r="J7" s="19"/>
      <c r="K7" s="4"/>
      <c r="M7" s="2"/>
      <c r="N7" s="2"/>
    </row>
    <row r="8" spans="3:14" ht="15" customHeight="1" thickBot="1" x14ac:dyDescent="0.3">
      <c r="C8" s="80" t="s">
        <v>13</v>
      </c>
      <c r="D8" s="82"/>
      <c r="E8" s="63"/>
      <c r="F8" s="64"/>
      <c r="H8" s="2"/>
      <c r="I8" s="18"/>
      <c r="J8" s="19"/>
      <c r="K8" s="4"/>
      <c r="M8" s="2"/>
      <c r="N8" s="2"/>
    </row>
    <row r="9" spans="3:14" ht="15" customHeight="1" x14ac:dyDescent="0.25"/>
    <row r="10" spans="3:14" ht="15" customHeight="1" thickBot="1" x14ac:dyDescent="0.3"/>
    <row r="11" spans="3:14" ht="15" customHeight="1" x14ac:dyDescent="0.25">
      <c r="C11" s="86" t="str">
        <f>HYPERLINK("#'1. Household'!H3", "BACK")</f>
        <v>BACK</v>
      </c>
      <c r="D11" s="66"/>
      <c r="N11" s="84" t="str">
        <f>IF('1. Household'!H3 &gt; 1, HYPERLINK("#'2.2 Driver'!E3", "NEXT"), HYPERLINK("#'3.1 Vehicle'!F3", "NEXT"))</f>
        <v>NEXT</v>
      </c>
    </row>
    <row r="12" spans="3:14" ht="15" customHeight="1" thickBot="1" x14ac:dyDescent="0.3">
      <c r="C12" s="87"/>
      <c r="D12" s="66"/>
      <c r="N12" s="85"/>
    </row>
    <row r="13" spans="3:14" ht="15" customHeight="1" x14ac:dyDescent="0.25"/>
    <row r="14" spans="3:14" ht="15" customHeight="1" thickBot="1" x14ac:dyDescent="0.3"/>
    <row r="15" spans="3:14" ht="15" customHeight="1" thickBot="1" x14ac:dyDescent="0.3">
      <c r="C15" s="67" t="s">
        <v>104</v>
      </c>
    </row>
    <row r="16" spans="3:14" ht="15" customHeight="1" x14ac:dyDescent="0.25">
      <c r="C16" s="68" t="str" cm="1">
        <f t="array" ref="C16:C22">tblDrivers[Name]</f>
        <v>Alicia Keys</v>
      </c>
    </row>
    <row r="17" spans="3:3" ht="15" customHeight="1" x14ac:dyDescent="0.25">
      <c r="C17" s="69" t="str">
        <v>Billie Eilish</v>
      </c>
    </row>
    <row r="18" spans="3:3" ht="15" customHeight="1" x14ac:dyDescent="0.25">
      <c r="C18" s="69" t="str">
        <v>Channing Tatum</v>
      </c>
    </row>
    <row r="19" spans="3:3" ht="15" customHeight="1" x14ac:dyDescent="0.25">
      <c r="C19" s="69" t="str">
        <v>Daniel Radcliffe</v>
      </c>
    </row>
    <row r="20" spans="3:3" ht="15" customHeight="1" x14ac:dyDescent="0.25">
      <c r="C20" s="69" t="str">
        <v>Elizabeth Windsor</v>
      </c>
    </row>
    <row r="21" spans="3:3" ht="15" customHeight="1" x14ac:dyDescent="0.25">
      <c r="C21" s="69" t="str">
        <v>Freddie Mercury</v>
      </c>
    </row>
    <row r="22" spans="3:3" ht="15" customHeight="1" thickBot="1" x14ac:dyDescent="0.3">
      <c r="C22" s="70" t="str">
        <v>Gwen Stefani</v>
      </c>
    </row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  <row r="29" spans="3:3" ht="15" customHeight="1" x14ac:dyDescent="0.25"/>
    <row r="30" spans="3:3" ht="15" customHeight="1" x14ac:dyDescent="0.25"/>
    <row r="31" spans="3:3" ht="15" customHeight="1" x14ac:dyDescent="0.25"/>
    <row r="32" spans="3:3" ht="15" customHeight="1" x14ac:dyDescent="0.25"/>
    <row r="33" ht="15" customHeight="1" x14ac:dyDescent="0.25"/>
    <row r="34" ht="15" customHeight="1" x14ac:dyDescent="0.25"/>
  </sheetData>
  <mergeCells count="14">
    <mergeCell ref="N11:N12"/>
    <mergeCell ref="C7:D7"/>
    <mergeCell ref="C8:D8"/>
    <mergeCell ref="C11:C12"/>
    <mergeCell ref="C2:F2"/>
    <mergeCell ref="M2:N2"/>
    <mergeCell ref="H2:K2"/>
    <mergeCell ref="E3:F3"/>
    <mergeCell ref="E4:F4"/>
    <mergeCell ref="E5:F5"/>
    <mergeCell ref="C3:D3"/>
    <mergeCell ref="C4:D4"/>
    <mergeCell ref="C5:D5"/>
    <mergeCell ref="C6:D6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55988-116E-4769-988D-C0C88A75FCCB}">
  <sheetPr codeName="Sheet5"/>
  <dimension ref="A1:N34"/>
  <sheetViews>
    <sheetView showGridLines="0" workbookViewId="0">
      <selection activeCell="G17" sqref="G17"/>
    </sheetView>
  </sheetViews>
  <sheetFormatPr defaultRowHeight="15" x14ac:dyDescent="0.25"/>
  <cols>
    <col min="1" max="1" width="35.7109375" style="61" customWidth="1"/>
    <col min="3" max="3" width="17" bestFit="1" customWidth="1"/>
    <col min="5" max="5" width="10.42578125" bestFit="1" customWidth="1"/>
    <col min="8" max="9" width="15.5703125" bestFit="1" customWidth="1"/>
    <col min="10" max="10" width="7.85546875" bestFit="1" customWidth="1"/>
    <col min="11" max="11" width="11.85546875" bestFit="1" customWidth="1"/>
    <col min="12" max="12" width="11.85546875" customWidth="1"/>
    <col min="13" max="13" width="15.28515625" bestFit="1" customWidth="1"/>
    <col min="14" max="14" width="16" bestFit="1" customWidth="1"/>
  </cols>
  <sheetData>
    <row r="1" spans="3:14" ht="15" customHeight="1" thickBot="1" x14ac:dyDescent="0.3"/>
    <row r="2" spans="3:14" ht="15" customHeight="1" thickBot="1" x14ac:dyDescent="0.3">
      <c r="C2" s="71" t="s">
        <v>15</v>
      </c>
      <c r="D2" s="72"/>
      <c r="E2" s="72"/>
      <c r="F2" s="73"/>
      <c r="H2" s="79" t="s">
        <v>103</v>
      </c>
      <c r="I2" s="79"/>
      <c r="J2" s="79"/>
      <c r="K2" s="79"/>
      <c r="M2" s="79" t="s">
        <v>101</v>
      </c>
      <c r="N2" s="79"/>
    </row>
    <row r="3" spans="3:14" ht="15" customHeight="1" thickBot="1" x14ac:dyDescent="0.3">
      <c r="C3" s="80" t="s">
        <v>8</v>
      </c>
      <c r="D3" s="82"/>
      <c r="E3" s="88"/>
      <c r="F3" s="89"/>
      <c r="H3" s="10" t="s">
        <v>12</v>
      </c>
      <c r="I3" s="11" t="s">
        <v>105</v>
      </c>
      <c r="J3" s="12" t="s">
        <v>72</v>
      </c>
      <c r="K3" s="13" t="s">
        <v>73</v>
      </c>
      <c r="L3" s="6"/>
      <c r="M3" s="10" t="s">
        <v>12</v>
      </c>
      <c r="N3" s="10" t="s">
        <v>106</v>
      </c>
    </row>
    <row r="4" spans="3:14" ht="15" customHeight="1" thickBot="1" x14ac:dyDescent="0.3">
      <c r="C4" s="80" t="s">
        <v>9</v>
      </c>
      <c r="D4" s="82"/>
      <c r="E4" s="88"/>
      <c r="F4" s="89"/>
      <c r="H4" s="14" t="str" cm="1">
        <f t="array" ref="H4">_xlfn._xlws.FILTER(tblAccidents[], tblAccidents[License '#]=$E$7, "")</f>
        <v/>
      </c>
      <c r="I4" s="15"/>
      <c r="J4" s="16"/>
      <c r="K4" s="17"/>
      <c r="L4" s="6"/>
      <c r="M4" s="2" t="str" cm="1">
        <f t="array" ref="M4">_xlfn._xlws.FILTER(tblViolations[], tblViolations[License '#]=$E$7, "")</f>
        <v/>
      </c>
      <c r="N4" s="20"/>
    </row>
    <row r="5" spans="3:14" ht="15" customHeight="1" thickBot="1" x14ac:dyDescent="0.3">
      <c r="C5" s="80" t="s">
        <v>10</v>
      </c>
      <c r="D5" s="82"/>
      <c r="E5" s="88"/>
      <c r="F5" s="89"/>
      <c r="H5" s="2"/>
      <c r="I5" s="18"/>
      <c r="J5" s="19"/>
      <c r="K5" s="4"/>
      <c r="M5" s="2"/>
      <c r="N5" s="2"/>
    </row>
    <row r="6" spans="3:14" ht="15" customHeight="1" thickBot="1" x14ac:dyDescent="0.3">
      <c r="C6" s="80" t="s">
        <v>11</v>
      </c>
      <c r="D6" s="82"/>
      <c r="E6" s="63" t="e" cm="1">
        <f t="array" ref="E6">TRANSPOSE(_xlfn.XLOOKUP(_xlfn.TEXTJOIN(" ", TRUE, E3:F4), tblDrivers[Name], tblDrivers[[DOB]:[Lic. Issue Date]]))</f>
        <v>#N/A</v>
      </c>
      <c r="F6" s="64"/>
      <c r="H6" s="2"/>
      <c r="I6" s="18"/>
      <c r="J6" s="19"/>
      <c r="K6" s="4"/>
      <c r="M6" s="2"/>
      <c r="N6" s="2"/>
    </row>
    <row r="7" spans="3:14" ht="15" customHeight="1" thickBot="1" x14ac:dyDescent="0.3">
      <c r="C7" s="80" t="s">
        <v>12</v>
      </c>
      <c r="D7" s="82"/>
      <c r="E7" s="63"/>
      <c r="F7" s="64"/>
      <c r="H7" s="2"/>
      <c r="I7" s="18"/>
      <c r="J7" s="19"/>
      <c r="K7" s="4"/>
      <c r="M7" s="2"/>
      <c r="N7" s="2"/>
    </row>
    <row r="8" spans="3:14" ht="15" customHeight="1" thickBot="1" x14ac:dyDescent="0.3">
      <c r="C8" s="80" t="s">
        <v>13</v>
      </c>
      <c r="D8" s="82"/>
      <c r="E8" s="63"/>
      <c r="F8" s="64"/>
      <c r="H8" s="2"/>
      <c r="I8" s="18"/>
      <c r="J8" s="19"/>
      <c r="K8" s="4"/>
      <c r="M8" s="2"/>
      <c r="N8" s="2"/>
    </row>
    <row r="9" spans="3:14" ht="15" customHeight="1" x14ac:dyDescent="0.25"/>
    <row r="10" spans="3:14" ht="15" customHeight="1" thickBot="1" x14ac:dyDescent="0.3"/>
    <row r="11" spans="3:14" ht="15" customHeight="1" x14ac:dyDescent="0.25">
      <c r="C11" s="86" t="str">
        <f>HYPERLINK("#'1. Household'!H3", "BACK")</f>
        <v>BACK</v>
      </c>
      <c r="D11" s="66"/>
      <c r="N11" s="84" t="str">
        <f>IF('1. Household'!H3 &gt; 2, HYPERLINK("#'2.3 Driver'!E3", "NEXT"), HYPERLINK("#'3.1 Vehicle'!F3", "NEXT"))</f>
        <v>NEXT</v>
      </c>
    </row>
    <row r="12" spans="3:14" ht="15" customHeight="1" thickBot="1" x14ac:dyDescent="0.3">
      <c r="C12" s="87"/>
      <c r="D12" s="66"/>
      <c r="N12" s="85"/>
    </row>
    <row r="13" spans="3:14" ht="15" customHeight="1" x14ac:dyDescent="0.25"/>
    <row r="14" spans="3:14" ht="15" customHeight="1" thickBot="1" x14ac:dyDescent="0.3"/>
    <row r="15" spans="3:14" ht="15" customHeight="1" thickBot="1" x14ac:dyDescent="0.3">
      <c r="C15" s="67" t="s">
        <v>104</v>
      </c>
    </row>
    <row r="16" spans="3:14" ht="15" customHeight="1" x14ac:dyDescent="0.25">
      <c r="C16" s="68" t="str" cm="1">
        <f t="array" ref="C16:C22">tblDrivers[Name]</f>
        <v>Alicia Keys</v>
      </c>
    </row>
    <row r="17" spans="3:3" ht="15" customHeight="1" x14ac:dyDescent="0.25">
      <c r="C17" s="69" t="str">
        <v>Billie Eilish</v>
      </c>
    </row>
    <row r="18" spans="3:3" ht="15" customHeight="1" x14ac:dyDescent="0.25">
      <c r="C18" s="69" t="str">
        <v>Channing Tatum</v>
      </c>
    </row>
    <row r="19" spans="3:3" ht="15" customHeight="1" x14ac:dyDescent="0.25">
      <c r="C19" s="69" t="str">
        <v>Daniel Radcliffe</v>
      </c>
    </row>
    <row r="20" spans="3:3" ht="15" customHeight="1" x14ac:dyDescent="0.25">
      <c r="C20" s="69" t="str">
        <v>Elizabeth Windsor</v>
      </c>
    </row>
    <row r="21" spans="3:3" ht="15" customHeight="1" x14ac:dyDescent="0.25">
      <c r="C21" s="69" t="str">
        <v>Freddie Mercury</v>
      </c>
    </row>
    <row r="22" spans="3:3" ht="15" customHeight="1" thickBot="1" x14ac:dyDescent="0.3">
      <c r="C22" s="70" t="str">
        <v>Gwen Stefani</v>
      </c>
    </row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  <row r="29" spans="3:3" ht="15" customHeight="1" x14ac:dyDescent="0.25"/>
    <row r="30" spans="3:3" ht="15" customHeight="1" x14ac:dyDescent="0.25"/>
    <row r="31" spans="3:3" ht="15" customHeight="1" x14ac:dyDescent="0.25"/>
    <row r="32" spans="3:3" ht="15" customHeight="1" x14ac:dyDescent="0.25"/>
    <row r="33" ht="15" customHeight="1" x14ac:dyDescent="0.25"/>
    <row r="34" ht="15" customHeight="1" x14ac:dyDescent="0.25"/>
  </sheetData>
  <mergeCells count="14">
    <mergeCell ref="N11:N12"/>
    <mergeCell ref="C11:C12"/>
    <mergeCell ref="H2:K2"/>
    <mergeCell ref="M2:N2"/>
    <mergeCell ref="C3:D3"/>
    <mergeCell ref="C4:D4"/>
    <mergeCell ref="C8:D8"/>
    <mergeCell ref="C2:F2"/>
    <mergeCell ref="E3:F3"/>
    <mergeCell ref="E4:F4"/>
    <mergeCell ref="E5:F5"/>
    <mergeCell ref="C5:D5"/>
    <mergeCell ref="C6:D6"/>
    <mergeCell ref="C7:D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A2A0B-8B97-4F6F-94C3-4C69D80FF726}">
  <sheetPr codeName="Sheet6"/>
  <dimension ref="A1:N34"/>
  <sheetViews>
    <sheetView showGridLines="0" workbookViewId="0">
      <selection activeCell="G17" sqref="G17"/>
    </sheetView>
  </sheetViews>
  <sheetFormatPr defaultRowHeight="15" x14ac:dyDescent="0.25"/>
  <cols>
    <col min="1" max="1" width="35.7109375" style="61" customWidth="1"/>
    <col min="3" max="3" width="17" bestFit="1" customWidth="1"/>
    <col min="5" max="5" width="10.42578125" bestFit="1" customWidth="1"/>
    <col min="8" max="9" width="15.5703125" bestFit="1" customWidth="1"/>
    <col min="10" max="10" width="7.85546875" bestFit="1" customWidth="1"/>
    <col min="11" max="11" width="11.85546875" bestFit="1" customWidth="1"/>
    <col min="12" max="12" width="11.85546875" customWidth="1"/>
    <col min="13" max="13" width="15.28515625" bestFit="1" customWidth="1"/>
    <col min="14" max="14" width="16" bestFit="1" customWidth="1"/>
  </cols>
  <sheetData>
    <row r="1" spans="3:14" ht="15" customHeight="1" thickBot="1" x14ac:dyDescent="0.3"/>
    <row r="2" spans="3:14" ht="15" customHeight="1" thickBot="1" x14ac:dyDescent="0.3">
      <c r="C2" s="71" t="s">
        <v>16</v>
      </c>
      <c r="D2" s="72"/>
      <c r="E2" s="72"/>
      <c r="F2" s="73"/>
      <c r="H2" s="79" t="s">
        <v>103</v>
      </c>
      <c r="I2" s="79"/>
      <c r="J2" s="79"/>
      <c r="K2" s="79"/>
      <c r="M2" s="79" t="s">
        <v>101</v>
      </c>
      <c r="N2" s="79"/>
    </row>
    <row r="3" spans="3:14" ht="15" customHeight="1" thickBot="1" x14ac:dyDescent="0.3">
      <c r="C3" s="80" t="s">
        <v>8</v>
      </c>
      <c r="D3" s="82"/>
      <c r="E3" s="88"/>
      <c r="F3" s="89"/>
      <c r="H3" s="10" t="s">
        <v>12</v>
      </c>
      <c r="I3" s="11" t="s">
        <v>105</v>
      </c>
      <c r="J3" s="12" t="s">
        <v>72</v>
      </c>
      <c r="K3" s="13" t="s">
        <v>73</v>
      </c>
      <c r="L3" s="6"/>
      <c r="M3" s="10" t="s">
        <v>12</v>
      </c>
      <c r="N3" s="10" t="s">
        <v>106</v>
      </c>
    </row>
    <row r="4" spans="3:14" ht="15" customHeight="1" thickBot="1" x14ac:dyDescent="0.3">
      <c r="C4" s="80" t="s">
        <v>9</v>
      </c>
      <c r="D4" s="82"/>
      <c r="E4" s="88"/>
      <c r="F4" s="89"/>
      <c r="H4" s="14" t="str" cm="1">
        <f t="array" ref="H4">_xlfn._xlws.FILTER(tblAccidents[], tblAccidents[License '#]=$E$7, "")</f>
        <v/>
      </c>
      <c r="I4" s="15"/>
      <c r="J4" s="16"/>
      <c r="K4" s="17"/>
      <c r="L4" s="6"/>
      <c r="M4" s="2" t="str" cm="1">
        <f t="array" ref="M4">_xlfn._xlws.FILTER(tblViolations[], tblViolations[License '#]=$E$7, "")</f>
        <v/>
      </c>
      <c r="N4" s="20"/>
    </row>
    <row r="5" spans="3:14" ht="15" customHeight="1" thickBot="1" x14ac:dyDescent="0.3">
      <c r="C5" s="80" t="s">
        <v>10</v>
      </c>
      <c r="D5" s="82"/>
      <c r="E5" s="88"/>
      <c r="F5" s="89"/>
      <c r="H5" s="2"/>
      <c r="I5" s="18"/>
      <c r="J5" s="19"/>
      <c r="K5" s="4"/>
      <c r="M5" s="2"/>
      <c r="N5" s="2"/>
    </row>
    <row r="6" spans="3:14" ht="15" customHeight="1" thickBot="1" x14ac:dyDescent="0.3">
      <c r="C6" s="80" t="s">
        <v>11</v>
      </c>
      <c r="D6" s="82"/>
      <c r="E6" s="63" t="e" cm="1">
        <f t="array" ref="E6">TRANSPOSE(_xlfn.XLOOKUP(_xlfn.TEXTJOIN(" ", TRUE, E3:F4), tblDrivers[Name], tblDrivers[[DOB]:[Lic. Issue Date]]))</f>
        <v>#N/A</v>
      </c>
      <c r="F6" s="64"/>
      <c r="H6" s="2"/>
      <c r="I6" s="18"/>
      <c r="J6" s="19"/>
      <c r="K6" s="4"/>
      <c r="M6" s="2"/>
      <c r="N6" s="2"/>
    </row>
    <row r="7" spans="3:14" ht="15" customHeight="1" thickBot="1" x14ac:dyDescent="0.3">
      <c r="C7" s="80" t="s">
        <v>12</v>
      </c>
      <c r="D7" s="82"/>
      <c r="E7" s="63"/>
      <c r="F7" s="64"/>
      <c r="H7" s="2"/>
      <c r="I7" s="18"/>
      <c r="J7" s="19"/>
      <c r="K7" s="4"/>
      <c r="M7" s="2"/>
      <c r="N7" s="2"/>
    </row>
    <row r="8" spans="3:14" ht="15" customHeight="1" thickBot="1" x14ac:dyDescent="0.3">
      <c r="C8" s="80" t="s">
        <v>13</v>
      </c>
      <c r="D8" s="82"/>
      <c r="E8" s="63"/>
      <c r="F8" s="64"/>
      <c r="H8" s="2"/>
      <c r="I8" s="18"/>
      <c r="J8" s="19"/>
      <c r="K8" s="4"/>
      <c r="M8" s="2"/>
      <c r="N8" s="2"/>
    </row>
    <row r="9" spans="3:14" ht="15" customHeight="1" x14ac:dyDescent="0.25"/>
    <row r="10" spans="3:14" ht="15" customHeight="1" thickBot="1" x14ac:dyDescent="0.3"/>
    <row r="11" spans="3:14" ht="15" customHeight="1" x14ac:dyDescent="0.25">
      <c r="C11" s="86" t="str">
        <f>HYPERLINK("#'1. Household'!H3", "BACK")</f>
        <v>BACK</v>
      </c>
      <c r="D11" s="66"/>
      <c r="N11" s="84" t="str">
        <f>IF('1. Household'!H3 &gt; 3, HYPERLINK("#'2.4 Driver'!E3", "NEXT"), HYPERLINK("#'3.1 Vehicle'!F3", "NEXT"))</f>
        <v>NEXT</v>
      </c>
    </row>
    <row r="12" spans="3:14" ht="15" customHeight="1" thickBot="1" x14ac:dyDescent="0.3">
      <c r="C12" s="87"/>
      <c r="D12" s="66"/>
      <c r="N12" s="85"/>
    </row>
    <row r="13" spans="3:14" ht="15" customHeight="1" x14ac:dyDescent="0.25"/>
    <row r="14" spans="3:14" ht="15" customHeight="1" thickBot="1" x14ac:dyDescent="0.3"/>
    <row r="15" spans="3:14" ht="15" customHeight="1" thickBot="1" x14ac:dyDescent="0.3">
      <c r="C15" s="67" t="s">
        <v>104</v>
      </c>
    </row>
    <row r="16" spans="3:14" ht="15" customHeight="1" x14ac:dyDescent="0.25">
      <c r="C16" s="68" t="str" cm="1">
        <f t="array" ref="C16:C22">tblDrivers[Name]</f>
        <v>Alicia Keys</v>
      </c>
    </row>
    <row r="17" spans="3:3" ht="15" customHeight="1" x14ac:dyDescent="0.25">
      <c r="C17" s="69" t="str">
        <v>Billie Eilish</v>
      </c>
    </row>
    <row r="18" spans="3:3" ht="15" customHeight="1" x14ac:dyDescent="0.25">
      <c r="C18" s="69" t="str">
        <v>Channing Tatum</v>
      </c>
    </row>
    <row r="19" spans="3:3" ht="15" customHeight="1" x14ac:dyDescent="0.25">
      <c r="C19" s="69" t="str">
        <v>Daniel Radcliffe</v>
      </c>
    </row>
    <row r="20" spans="3:3" ht="15" customHeight="1" x14ac:dyDescent="0.25">
      <c r="C20" s="69" t="str">
        <v>Elizabeth Windsor</v>
      </c>
    </row>
    <row r="21" spans="3:3" ht="15" customHeight="1" x14ac:dyDescent="0.25">
      <c r="C21" s="69" t="str">
        <v>Freddie Mercury</v>
      </c>
    </row>
    <row r="22" spans="3:3" ht="15" customHeight="1" thickBot="1" x14ac:dyDescent="0.3">
      <c r="C22" s="70" t="str">
        <v>Gwen Stefani</v>
      </c>
    </row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  <row r="29" spans="3:3" ht="15" customHeight="1" x14ac:dyDescent="0.25"/>
    <row r="30" spans="3:3" ht="15" customHeight="1" x14ac:dyDescent="0.25"/>
    <row r="31" spans="3:3" ht="15" customHeight="1" x14ac:dyDescent="0.25"/>
    <row r="32" spans="3:3" ht="15" customHeight="1" x14ac:dyDescent="0.25"/>
    <row r="33" ht="15" customHeight="1" x14ac:dyDescent="0.25"/>
    <row r="34" ht="15" customHeight="1" x14ac:dyDescent="0.25"/>
  </sheetData>
  <mergeCells count="14">
    <mergeCell ref="N11:N12"/>
    <mergeCell ref="C11:C12"/>
    <mergeCell ref="H2:K2"/>
    <mergeCell ref="M2:N2"/>
    <mergeCell ref="C3:D3"/>
    <mergeCell ref="C4:D4"/>
    <mergeCell ref="C8:D8"/>
    <mergeCell ref="C2:F2"/>
    <mergeCell ref="E3:F3"/>
    <mergeCell ref="E4:F4"/>
    <mergeCell ref="E5:F5"/>
    <mergeCell ref="C5:D5"/>
    <mergeCell ref="C6:D6"/>
    <mergeCell ref="C7:D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F724-AF6C-4342-AFD9-5AF7D1069021}">
  <sheetPr codeName="Sheet7"/>
  <dimension ref="A1:N34"/>
  <sheetViews>
    <sheetView showGridLines="0" workbookViewId="0">
      <selection activeCell="G17" sqref="G17"/>
    </sheetView>
  </sheetViews>
  <sheetFormatPr defaultRowHeight="15" x14ac:dyDescent="0.25"/>
  <cols>
    <col min="1" max="1" width="35.7109375" style="61" customWidth="1"/>
    <col min="3" max="3" width="17" bestFit="1" customWidth="1"/>
    <col min="5" max="5" width="10.42578125" bestFit="1" customWidth="1"/>
    <col min="8" max="9" width="15.5703125" bestFit="1" customWidth="1"/>
    <col min="10" max="10" width="7.85546875" bestFit="1" customWidth="1"/>
    <col min="11" max="11" width="11.85546875" bestFit="1" customWidth="1"/>
    <col min="12" max="12" width="11.85546875" customWidth="1"/>
    <col min="13" max="13" width="15.28515625" bestFit="1" customWidth="1"/>
    <col min="14" max="14" width="16" bestFit="1" customWidth="1"/>
  </cols>
  <sheetData>
    <row r="1" spans="3:14" ht="15" customHeight="1" thickBot="1" x14ac:dyDescent="0.3"/>
    <row r="2" spans="3:14" ht="15" customHeight="1" thickBot="1" x14ac:dyDescent="0.3">
      <c r="C2" s="71" t="s">
        <v>17</v>
      </c>
      <c r="D2" s="72"/>
      <c r="E2" s="72"/>
      <c r="F2" s="73"/>
      <c r="H2" s="79" t="s">
        <v>103</v>
      </c>
      <c r="I2" s="79"/>
      <c r="J2" s="79"/>
      <c r="K2" s="79"/>
      <c r="M2" s="79" t="s">
        <v>101</v>
      </c>
      <c r="N2" s="79"/>
    </row>
    <row r="3" spans="3:14" ht="15" customHeight="1" thickBot="1" x14ac:dyDescent="0.3">
      <c r="C3" s="80" t="s">
        <v>8</v>
      </c>
      <c r="D3" s="82"/>
      <c r="E3" s="88"/>
      <c r="F3" s="89"/>
      <c r="H3" s="10" t="s">
        <v>12</v>
      </c>
      <c r="I3" s="11" t="s">
        <v>105</v>
      </c>
      <c r="J3" s="12" t="s">
        <v>72</v>
      </c>
      <c r="K3" s="13" t="s">
        <v>73</v>
      </c>
      <c r="L3" s="6"/>
      <c r="M3" s="10" t="s">
        <v>12</v>
      </c>
      <c r="N3" s="10" t="s">
        <v>106</v>
      </c>
    </row>
    <row r="4" spans="3:14" ht="15" customHeight="1" thickBot="1" x14ac:dyDescent="0.3">
      <c r="C4" s="80" t="s">
        <v>9</v>
      </c>
      <c r="D4" s="82"/>
      <c r="E4" s="88"/>
      <c r="F4" s="89"/>
      <c r="H4" s="14" t="str" cm="1">
        <f t="array" ref="H4">_xlfn._xlws.FILTER(tblAccidents[], tblAccidents[License '#]=$E$7, "")</f>
        <v/>
      </c>
      <c r="I4" s="15"/>
      <c r="J4" s="16"/>
      <c r="K4" s="17"/>
      <c r="L4" s="6"/>
      <c r="M4" s="2" t="str" cm="1">
        <f t="array" ref="M4">_xlfn._xlws.FILTER(tblViolations[], tblViolations[License '#]=$E$7, "")</f>
        <v/>
      </c>
      <c r="N4" s="20"/>
    </row>
    <row r="5" spans="3:14" ht="15" customHeight="1" thickBot="1" x14ac:dyDescent="0.3">
      <c r="C5" s="80" t="s">
        <v>10</v>
      </c>
      <c r="D5" s="82"/>
      <c r="E5" s="88"/>
      <c r="F5" s="89"/>
      <c r="H5" s="2"/>
      <c r="I5" s="18"/>
      <c r="J5" s="19"/>
      <c r="K5" s="4"/>
      <c r="M5" s="2"/>
      <c r="N5" s="2"/>
    </row>
    <row r="6" spans="3:14" ht="15" customHeight="1" thickBot="1" x14ac:dyDescent="0.3">
      <c r="C6" s="80" t="s">
        <v>11</v>
      </c>
      <c r="D6" s="82"/>
      <c r="E6" s="63" t="e" cm="1">
        <f t="array" ref="E6">TRANSPOSE(_xlfn.XLOOKUP(_xlfn.TEXTJOIN(" ", TRUE, E3:F4), tblDrivers[Name], tblDrivers[[DOB]:[Lic. Issue Date]]))</f>
        <v>#N/A</v>
      </c>
      <c r="F6" s="64"/>
      <c r="H6" s="2"/>
      <c r="I6" s="18"/>
      <c r="J6" s="19"/>
      <c r="K6" s="4"/>
      <c r="M6" s="2"/>
      <c r="N6" s="2"/>
    </row>
    <row r="7" spans="3:14" ht="15" customHeight="1" thickBot="1" x14ac:dyDescent="0.3">
      <c r="C7" s="80" t="s">
        <v>12</v>
      </c>
      <c r="D7" s="82"/>
      <c r="E7" s="63"/>
      <c r="F7" s="64"/>
      <c r="H7" s="2"/>
      <c r="I7" s="18"/>
      <c r="J7" s="19"/>
      <c r="K7" s="4"/>
      <c r="M7" s="2"/>
      <c r="N7" s="2"/>
    </row>
    <row r="8" spans="3:14" ht="15" customHeight="1" thickBot="1" x14ac:dyDescent="0.3">
      <c r="C8" s="80" t="s">
        <v>13</v>
      </c>
      <c r="D8" s="82"/>
      <c r="E8" s="63"/>
      <c r="F8" s="64"/>
      <c r="H8" s="2"/>
      <c r="I8" s="18"/>
      <c r="J8" s="19"/>
      <c r="K8" s="4"/>
      <c r="M8" s="2"/>
      <c r="N8" s="2"/>
    </row>
    <row r="9" spans="3:14" ht="15" customHeight="1" x14ac:dyDescent="0.25"/>
    <row r="10" spans="3:14" ht="15" customHeight="1" thickBot="1" x14ac:dyDescent="0.3"/>
    <row r="11" spans="3:14" ht="15" customHeight="1" x14ac:dyDescent="0.25">
      <c r="C11" s="86" t="str">
        <f>HYPERLINK("#'1. Household'!H3", "BACK")</f>
        <v>BACK</v>
      </c>
      <c r="D11" s="66"/>
      <c r="N11" s="86" t="str">
        <f>HYPERLINK("#'3.1 Vehicle'!F3", "NEXT")</f>
        <v>NEXT</v>
      </c>
    </row>
    <row r="12" spans="3:14" ht="15" customHeight="1" thickBot="1" x14ac:dyDescent="0.3">
      <c r="C12" s="87"/>
      <c r="D12" s="66"/>
      <c r="N12" s="87"/>
    </row>
    <row r="13" spans="3:14" ht="15" customHeight="1" x14ac:dyDescent="0.25"/>
    <row r="14" spans="3:14" ht="15" customHeight="1" thickBot="1" x14ac:dyDescent="0.3"/>
    <row r="15" spans="3:14" ht="15" customHeight="1" thickBot="1" x14ac:dyDescent="0.3">
      <c r="C15" s="67" t="s">
        <v>104</v>
      </c>
    </row>
    <row r="16" spans="3:14" ht="15" customHeight="1" x14ac:dyDescent="0.25">
      <c r="C16" s="68" t="str" cm="1">
        <f t="array" ref="C16:C22">tblDrivers[Name]</f>
        <v>Alicia Keys</v>
      </c>
    </row>
    <row r="17" spans="3:3" ht="15" customHeight="1" x14ac:dyDescent="0.25">
      <c r="C17" s="69" t="str">
        <v>Billie Eilish</v>
      </c>
    </row>
    <row r="18" spans="3:3" ht="15" customHeight="1" x14ac:dyDescent="0.25">
      <c r="C18" s="69" t="str">
        <v>Channing Tatum</v>
      </c>
    </row>
    <row r="19" spans="3:3" ht="15" customHeight="1" x14ac:dyDescent="0.25">
      <c r="C19" s="69" t="str">
        <v>Daniel Radcliffe</v>
      </c>
    </row>
    <row r="20" spans="3:3" ht="15" customHeight="1" x14ac:dyDescent="0.25">
      <c r="C20" s="69" t="str">
        <v>Elizabeth Windsor</v>
      </c>
    </row>
    <row r="21" spans="3:3" ht="15" customHeight="1" x14ac:dyDescent="0.25">
      <c r="C21" s="69" t="str">
        <v>Freddie Mercury</v>
      </c>
    </row>
    <row r="22" spans="3:3" ht="15" customHeight="1" thickBot="1" x14ac:dyDescent="0.3">
      <c r="C22" s="70" t="str">
        <v>Gwen Stefani</v>
      </c>
    </row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  <row r="29" spans="3:3" ht="15" customHeight="1" x14ac:dyDescent="0.25"/>
    <row r="30" spans="3:3" ht="15" customHeight="1" x14ac:dyDescent="0.25"/>
    <row r="31" spans="3:3" ht="15" customHeight="1" x14ac:dyDescent="0.25"/>
    <row r="32" spans="3:3" ht="15" customHeight="1" x14ac:dyDescent="0.25"/>
    <row r="33" ht="15" customHeight="1" x14ac:dyDescent="0.25"/>
    <row r="34" ht="15" customHeight="1" x14ac:dyDescent="0.25"/>
  </sheetData>
  <mergeCells count="14">
    <mergeCell ref="N11:N12"/>
    <mergeCell ref="C11:C12"/>
    <mergeCell ref="H2:K2"/>
    <mergeCell ref="M2:N2"/>
    <mergeCell ref="C3:D3"/>
    <mergeCell ref="C4:D4"/>
    <mergeCell ref="C8:D8"/>
    <mergeCell ref="C2:F2"/>
    <mergeCell ref="E3:F3"/>
    <mergeCell ref="E4:F4"/>
    <mergeCell ref="E5:F5"/>
    <mergeCell ref="C5:D5"/>
    <mergeCell ref="C6:D6"/>
    <mergeCell ref="C7:D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B76B1-C021-4A27-BF3A-1834CFF292C1}">
  <sheetPr codeName="Sheet8"/>
  <dimension ref="A1:H34"/>
  <sheetViews>
    <sheetView showGridLines="0" workbookViewId="0">
      <selection activeCell="G12" sqref="G12:H13"/>
    </sheetView>
  </sheetViews>
  <sheetFormatPr defaultRowHeight="15" x14ac:dyDescent="0.25"/>
  <cols>
    <col min="1" max="1" width="35.7109375" style="61" customWidth="1"/>
  </cols>
  <sheetData>
    <row r="1" spans="3:8" ht="15" customHeight="1" thickBot="1" x14ac:dyDescent="0.3"/>
    <row r="2" spans="3:8" ht="15" customHeight="1" thickBot="1" x14ac:dyDescent="0.3">
      <c r="C2" s="71" t="s">
        <v>18</v>
      </c>
      <c r="D2" s="72"/>
      <c r="E2" s="72"/>
      <c r="F2" s="72"/>
      <c r="G2" s="72"/>
      <c r="H2" s="73"/>
    </row>
    <row r="3" spans="3:8" ht="15" customHeight="1" thickBot="1" x14ac:dyDescent="0.3">
      <c r="C3" s="80" t="s">
        <v>21</v>
      </c>
      <c r="D3" s="81"/>
      <c r="E3" s="82"/>
      <c r="F3" s="88"/>
      <c r="G3" s="90"/>
      <c r="H3" s="89"/>
    </row>
    <row r="4" spans="3:8" ht="15" customHeight="1" thickBot="1" x14ac:dyDescent="0.3">
      <c r="C4" s="80" t="s">
        <v>19</v>
      </c>
      <c r="D4" s="81"/>
      <c r="E4" s="82"/>
      <c r="F4" s="88"/>
      <c r="G4" s="90"/>
      <c r="H4" s="89"/>
    </row>
    <row r="5" spans="3:8" ht="15" customHeight="1" thickBot="1" x14ac:dyDescent="0.3">
      <c r="C5" s="80" t="s">
        <v>20</v>
      </c>
      <c r="D5" s="81"/>
      <c r="E5" s="82"/>
      <c r="F5" s="88"/>
      <c r="G5" s="90"/>
      <c r="H5" s="89"/>
    </row>
    <row r="6" spans="3:8" ht="15" customHeight="1" thickBot="1" x14ac:dyDescent="0.3">
      <c r="C6" s="80" t="s">
        <v>22</v>
      </c>
      <c r="D6" s="81"/>
      <c r="E6" s="82"/>
      <c r="F6" s="88"/>
      <c r="G6" s="90"/>
      <c r="H6" s="89"/>
    </row>
    <row r="7" spans="3:8" ht="15" customHeight="1" thickBot="1" x14ac:dyDescent="0.3">
      <c r="C7" s="80" t="s">
        <v>23</v>
      </c>
      <c r="D7" s="81"/>
      <c r="E7" s="82"/>
      <c r="F7" s="88"/>
      <c r="G7" s="90"/>
      <c r="H7" s="89"/>
    </row>
    <row r="8" spans="3:8" ht="15" customHeight="1" thickBot="1" x14ac:dyDescent="0.3">
      <c r="C8" s="80" t="s">
        <v>24</v>
      </c>
      <c r="D8" s="81"/>
      <c r="E8" s="82"/>
      <c r="F8" s="88"/>
      <c r="G8" s="90"/>
      <c r="H8" s="89"/>
    </row>
    <row r="9" spans="3:8" ht="15" customHeight="1" thickBot="1" x14ac:dyDescent="0.3">
      <c r="C9" s="80" t="s">
        <v>122</v>
      </c>
      <c r="D9" s="81"/>
      <c r="E9" s="82"/>
      <c r="F9" s="88"/>
      <c r="G9" s="90"/>
      <c r="H9" s="89"/>
    </row>
    <row r="10" spans="3:8" ht="15" customHeight="1" x14ac:dyDescent="0.25"/>
    <row r="11" spans="3:8" ht="15" customHeight="1" thickBot="1" x14ac:dyDescent="0.3"/>
    <row r="12" spans="3:8" ht="15" customHeight="1" x14ac:dyDescent="0.25">
      <c r="C12" s="74" t="str">
        <f>IF(q.d=4, HYPERLINK("#'2.4 Driver'!E3", "BACK"), IF(q.d=3, HYPERLINK("#'2.3 Driver'!E3", "BACK"), IF(q.d=2, HYPERLINK("#'2.2 Driver'!E3", "BACK"), HYPERLINK("#'2.1 Driver'!E3", "BACK"))))</f>
        <v>BACK</v>
      </c>
      <c r="D12" s="91"/>
      <c r="G12" s="74" t="str">
        <f>IF('1. Household'!H4 &gt; 1, HYPERLINK("#'3.2 Vehicle'!F3", "NEXT"), HYPERLINK("#'4.1 Coverage'!I3", "NEXT"))</f>
        <v>NEXT</v>
      </c>
      <c r="H12" s="91"/>
    </row>
    <row r="13" spans="3:8" ht="15" customHeight="1" thickBot="1" x14ac:dyDescent="0.3">
      <c r="C13" s="92"/>
      <c r="D13" s="93"/>
      <c r="G13" s="92"/>
      <c r="H13" s="93"/>
    </row>
    <row r="14" spans="3:8" ht="15" customHeight="1" x14ac:dyDescent="0.25"/>
    <row r="15" spans="3:8" ht="15" customHeight="1" x14ac:dyDescent="0.25"/>
    <row r="16" spans="3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17">
    <mergeCell ref="F9:H9"/>
    <mergeCell ref="F6:H6"/>
    <mergeCell ref="C12:D13"/>
    <mergeCell ref="F7:H7"/>
    <mergeCell ref="F8:H8"/>
    <mergeCell ref="C2:H2"/>
    <mergeCell ref="G12:H13"/>
    <mergeCell ref="C3:E3"/>
    <mergeCell ref="C4:E4"/>
    <mergeCell ref="C5:E5"/>
    <mergeCell ref="C6:E6"/>
    <mergeCell ref="C7:E7"/>
    <mergeCell ref="C8:E8"/>
    <mergeCell ref="F3:H3"/>
    <mergeCell ref="F4:H4"/>
    <mergeCell ref="F5:H5"/>
    <mergeCell ref="C9:E9"/>
  </mergeCells>
  <dataValidations count="1">
    <dataValidation type="list" allowBlank="1" showInputMessage="1" showErrorMessage="1" sqref="F6:H6" xr:uid="{6C68081C-799E-453D-8CFC-ED9ED643B15E}">
      <formula1>IF($F$5=FE, FEL, IF($F$5=FF, FFL, IF($F$5=FM, FML, IF($F$5=HA, HAL, IF($F$5=HC, HCL, IF($F$5=HH, HHL, IF($F$5=HE,HEL, IF($F$5=HS, HSL, IF($F$5=NG, NGL, IF($F$5=NS, NSL, IF($F$5=TC, TCL, IF($F$5=TP, TPL, B1))))))))))))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29AC2A-7712-40D5-BCFF-8BC0369E1675}">
          <x14:formula1>
            <xm:f>'Vehicles &amp; GRG'!$C$13:$C$22</xm:f>
          </x14:formula1>
          <xm:sqref>F3:H3</xm:sqref>
        </x14:dataValidation>
        <x14:dataValidation type="list" allowBlank="1" showInputMessage="1" showErrorMessage="1" xr:uid="{3810D3CB-9FA7-4366-8686-7574981FA32F}">
          <x14:formula1>
            <xm:f>'Vehicles &amp; GRG'!$D$43:$D$312</xm:f>
          </x14:formula1>
          <xm:sqref>F4:H4</xm:sqref>
        </x14:dataValidation>
        <x14:dataValidation type="list" allowBlank="1" showInputMessage="1" showErrorMessage="1" xr:uid="{E5E2A7DA-43AF-4F14-9B64-202574980A7E}">
          <x14:formula1>
            <xm:f>IF($F$4 = "Ford", 'Vehicles &amp; GRG'!$E$13:$E$92, IF($F$4 = "Honda", 'Vehicles &amp; GRG'!$E$113:$E$162, IF($F$4 = "Hyundai", 'Vehicles &amp; GRG'!$E$173:$E$202, IF($F$4 = "Nissan", 'Vehicles &amp; GRG'!$E$213:$E$252, IF($F$4 = "Toyota", 'Vehicles &amp; GRG'!$E$283:$E$312, $B$1)))))</xm:f>
          </x14:formula1>
          <xm:sqref>F5:H5</xm:sqref>
        </x14:dataValidation>
        <x14:dataValidation type="list" allowBlank="1" showInputMessage="1" showErrorMessage="1" xr:uid="{6FA5C8B7-A795-4109-93F5-8BB9D3509211}">
          <x14:formula1>
            <xm:f>DRG!$B$45:$B$48</xm:f>
          </x14:formula1>
          <xm:sqref>F9:H9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CCC3A-F632-4B13-B0C1-40A131E56AFA}">
  <sheetPr codeName="Sheet9"/>
  <dimension ref="A1:H34"/>
  <sheetViews>
    <sheetView showGridLines="0" workbookViewId="0">
      <selection activeCell="G12" sqref="G12:H13"/>
    </sheetView>
  </sheetViews>
  <sheetFormatPr defaultRowHeight="15" x14ac:dyDescent="0.25"/>
  <cols>
    <col min="1" max="1" width="35.7109375" style="61" customWidth="1"/>
  </cols>
  <sheetData>
    <row r="1" spans="3:8" ht="15" customHeight="1" thickBot="1" x14ac:dyDescent="0.3"/>
    <row r="2" spans="3:8" ht="15" customHeight="1" thickBot="1" x14ac:dyDescent="0.3">
      <c r="C2" s="71" t="s">
        <v>66</v>
      </c>
      <c r="D2" s="72"/>
      <c r="E2" s="72"/>
      <c r="F2" s="72"/>
      <c r="G2" s="72"/>
      <c r="H2" s="73"/>
    </row>
    <row r="3" spans="3:8" ht="15" customHeight="1" thickBot="1" x14ac:dyDescent="0.3">
      <c r="C3" s="80" t="s">
        <v>21</v>
      </c>
      <c r="D3" s="81"/>
      <c r="E3" s="82"/>
      <c r="F3" s="88"/>
      <c r="G3" s="90"/>
      <c r="H3" s="89"/>
    </row>
    <row r="4" spans="3:8" ht="15" customHeight="1" thickBot="1" x14ac:dyDescent="0.3">
      <c r="C4" s="80" t="s">
        <v>19</v>
      </c>
      <c r="D4" s="81"/>
      <c r="E4" s="82"/>
      <c r="F4" s="88"/>
      <c r="G4" s="90"/>
      <c r="H4" s="89"/>
    </row>
    <row r="5" spans="3:8" ht="15" customHeight="1" thickBot="1" x14ac:dyDescent="0.3">
      <c r="C5" s="80" t="s">
        <v>20</v>
      </c>
      <c r="D5" s="81"/>
      <c r="E5" s="82"/>
      <c r="F5" s="88"/>
      <c r="G5" s="90"/>
      <c r="H5" s="89"/>
    </row>
    <row r="6" spans="3:8" ht="15" customHeight="1" thickBot="1" x14ac:dyDescent="0.3">
      <c r="C6" s="80" t="s">
        <v>22</v>
      </c>
      <c r="D6" s="81"/>
      <c r="E6" s="82"/>
      <c r="F6" s="88"/>
      <c r="G6" s="90"/>
      <c r="H6" s="89"/>
    </row>
    <row r="7" spans="3:8" ht="15" customHeight="1" thickBot="1" x14ac:dyDescent="0.3">
      <c r="C7" s="80" t="s">
        <v>23</v>
      </c>
      <c r="D7" s="81"/>
      <c r="E7" s="82"/>
      <c r="F7" s="88"/>
      <c r="G7" s="90"/>
      <c r="H7" s="89"/>
    </row>
    <row r="8" spans="3:8" ht="15" customHeight="1" thickBot="1" x14ac:dyDescent="0.3">
      <c r="C8" s="80" t="s">
        <v>24</v>
      </c>
      <c r="D8" s="81"/>
      <c r="E8" s="82"/>
      <c r="F8" s="88"/>
      <c r="G8" s="90"/>
      <c r="H8" s="89"/>
    </row>
    <row r="9" spans="3:8" ht="15" customHeight="1" thickBot="1" x14ac:dyDescent="0.3">
      <c r="C9" s="80" t="s">
        <v>122</v>
      </c>
      <c r="D9" s="81"/>
      <c r="E9" s="82"/>
      <c r="F9" s="88"/>
      <c r="G9" s="90"/>
      <c r="H9" s="89"/>
    </row>
    <row r="10" spans="3:8" ht="15" customHeight="1" x14ac:dyDescent="0.25"/>
    <row r="11" spans="3:8" ht="15" customHeight="1" thickBot="1" x14ac:dyDescent="0.3"/>
    <row r="12" spans="3:8" ht="15" customHeight="1" x14ac:dyDescent="0.25">
      <c r="C12" s="74" t="str">
        <f>HYPERLINK("#'3.1 Vehicle'!F3", "BACK")</f>
        <v>BACK</v>
      </c>
      <c r="D12" s="91"/>
      <c r="G12" s="74" t="str">
        <f>IF('1. Household'!H4 &gt; 2, HYPERLINK("#'3.3 Vehicle'!F3", "NEXT"), HYPERLINK("#'4.1 Coverage'!I3", "NEXT"))</f>
        <v>NEXT</v>
      </c>
      <c r="H12" s="91"/>
    </row>
    <row r="13" spans="3:8" ht="15" customHeight="1" thickBot="1" x14ac:dyDescent="0.3">
      <c r="C13" s="92"/>
      <c r="D13" s="93"/>
      <c r="G13" s="92"/>
      <c r="H13" s="93"/>
    </row>
    <row r="14" spans="3:8" ht="15" customHeight="1" x14ac:dyDescent="0.25"/>
    <row r="15" spans="3:8" ht="15" customHeight="1" x14ac:dyDescent="0.25"/>
    <row r="16" spans="3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17">
    <mergeCell ref="C4:E4"/>
    <mergeCell ref="F4:H4"/>
    <mergeCell ref="C2:H2"/>
    <mergeCell ref="C3:E3"/>
    <mergeCell ref="F3:H3"/>
    <mergeCell ref="C5:E5"/>
    <mergeCell ref="F5:H5"/>
    <mergeCell ref="C6:E6"/>
    <mergeCell ref="F6:H6"/>
    <mergeCell ref="C7:E7"/>
    <mergeCell ref="F7:H7"/>
    <mergeCell ref="C8:E8"/>
    <mergeCell ref="F8:H8"/>
    <mergeCell ref="G12:H13"/>
    <mergeCell ref="C9:E9"/>
    <mergeCell ref="F9:H9"/>
    <mergeCell ref="C12:D13"/>
  </mergeCells>
  <dataValidations count="1">
    <dataValidation type="list" allowBlank="1" showInputMessage="1" showErrorMessage="1" sqref="F6:H6" xr:uid="{A7F4DD0D-12A8-49B4-8F86-6693ACFCC39E}">
      <formula1>IF($F$5=FE, FEL, IF($F$5=FF, FFL, IF($F$5=FM, FML, IF($F$5=HA, HAL, IF($F$5=HC, HCL, IF($F$5=HH, HHL, IF($F$5=HE,HEL, IF($F$5=HS, HSL, IF($F$5=NG, NGL, IF($F$5=NS, NSL, IF($F$5=TC, TCL, IF($F$5=TP, TPL, B1))))))))))))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1FB831E-2C00-4409-A7C9-7CEE72F37B4E}">
          <x14:formula1>
            <xm:f>IF($F$4 = "Ford", 'Vehicles &amp; GRG'!$E$13:$E$92, IF($F$4 = "Honda", 'Vehicles &amp; GRG'!$E$113:$E$162, IF($F$4 = "Hyundai", 'Vehicles &amp; GRG'!$E$173:$E$202, IF($F$4 = "Nissan", 'Vehicles &amp; GRG'!$E$213:$E$252, IF($F$4 = "Toyota", 'Vehicles &amp; GRG'!$E$283:$E$312, $B$1)))))</xm:f>
          </x14:formula1>
          <xm:sqref>F5:H5</xm:sqref>
        </x14:dataValidation>
        <x14:dataValidation type="list" allowBlank="1" showInputMessage="1" showErrorMessage="1" xr:uid="{4900C62C-0DD4-4D97-A845-4005826A5846}">
          <x14:formula1>
            <xm:f>'Vehicles &amp; GRG'!$D$43:$D$312</xm:f>
          </x14:formula1>
          <xm:sqref>F4:H4</xm:sqref>
        </x14:dataValidation>
        <x14:dataValidation type="list" allowBlank="1" showInputMessage="1" showErrorMessage="1" xr:uid="{C2726EA6-613D-451B-B02B-F92787D2595D}">
          <x14:formula1>
            <xm:f>'Vehicles &amp; GRG'!$C$13:$C$22</xm:f>
          </x14:formula1>
          <xm:sqref>F3:H3</xm:sqref>
        </x14:dataValidation>
        <x14:dataValidation type="list" allowBlank="1" showInputMessage="1" showErrorMessage="1" xr:uid="{9C444302-1790-4C65-BC5E-97CA3AB502F0}">
          <x14:formula1>
            <xm:f>DRG!$B$45:$B$48</xm:f>
          </x14:formula1>
          <xm:sqref>F9:H9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74A6B-0E78-41DF-BF81-EEBCDF0EA88F}">
  <sheetPr codeName="Sheet10"/>
  <dimension ref="A1:H34"/>
  <sheetViews>
    <sheetView showGridLines="0" workbookViewId="0">
      <selection activeCell="G12" sqref="G12:H13"/>
    </sheetView>
  </sheetViews>
  <sheetFormatPr defaultRowHeight="15" x14ac:dyDescent="0.25"/>
  <cols>
    <col min="1" max="1" width="35.7109375" style="61" customWidth="1"/>
  </cols>
  <sheetData>
    <row r="1" spans="3:8" ht="15" customHeight="1" thickBot="1" x14ac:dyDescent="0.3"/>
    <row r="2" spans="3:8" ht="15" customHeight="1" thickBot="1" x14ac:dyDescent="0.3">
      <c r="C2" s="71" t="s">
        <v>67</v>
      </c>
      <c r="D2" s="72"/>
      <c r="E2" s="72"/>
      <c r="F2" s="72"/>
      <c r="G2" s="72"/>
      <c r="H2" s="73"/>
    </row>
    <row r="3" spans="3:8" ht="15" customHeight="1" thickBot="1" x14ac:dyDescent="0.3">
      <c r="C3" s="80" t="s">
        <v>21</v>
      </c>
      <c r="D3" s="81"/>
      <c r="E3" s="82"/>
      <c r="F3" s="88"/>
      <c r="G3" s="90"/>
      <c r="H3" s="89"/>
    </row>
    <row r="4" spans="3:8" ht="15" customHeight="1" thickBot="1" x14ac:dyDescent="0.3">
      <c r="C4" s="80" t="s">
        <v>19</v>
      </c>
      <c r="D4" s="81"/>
      <c r="E4" s="82"/>
      <c r="F4" s="88"/>
      <c r="G4" s="90"/>
      <c r="H4" s="89"/>
    </row>
    <row r="5" spans="3:8" ht="15" customHeight="1" thickBot="1" x14ac:dyDescent="0.3">
      <c r="C5" s="80" t="s">
        <v>20</v>
      </c>
      <c r="D5" s="81"/>
      <c r="E5" s="82"/>
      <c r="F5" s="88"/>
      <c r="G5" s="90"/>
      <c r="H5" s="89"/>
    </row>
    <row r="6" spans="3:8" ht="15" customHeight="1" thickBot="1" x14ac:dyDescent="0.3">
      <c r="C6" s="80" t="s">
        <v>22</v>
      </c>
      <c r="D6" s="81"/>
      <c r="E6" s="82"/>
      <c r="F6" s="88"/>
      <c r="G6" s="90"/>
      <c r="H6" s="89"/>
    </row>
    <row r="7" spans="3:8" ht="15" customHeight="1" thickBot="1" x14ac:dyDescent="0.3">
      <c r="C7" s="80" t="s">
        <v>23</v>
      </c>
      <c r="D7" s="81"/>
      <c r="E7" s="82"/>
      <c r="F7" s="88"/>
      <c r="G7" s="90"/>
      <c r="H7" s="89"/>
    </row>
    <row r="8" spans="3:8" ht="15" customHeight="1" thickBot="1" x14ac:dyDescent="0.3">
      <c r="C8" s="80" t="s">
        <v>24</v>
      </c>
      <c r="D8" s="81"/>
      <c r="E8" s="82"/>
      <c r="F8" s="88"/>
      <c r="G8" s="90"/>
      <c r="H8" s="89"/>
    </row>
    <row r="9" spans="3:8" ht="15" customHeight="1" thickBot="1" x14ac:dyDescent="0.3">
      <c r="C9" s="80" t="s">
        <v>122</v>
      </c>
      <c r="D9" s="81"/>
      <c r="E9" s="82"/>
      <c r="F9" s="88"/>
      <c r="G9" s="90"/>
      <c r="H9" s="89"/>
    </row>
    <row r="10" spans="3:8" ht="15" customHeight="1" x14ac:dyDescent="0.25"/>
    <row r="11" spans="3:8" ht="15" customHeight="1" thickBot="1" x14ac:dyDescent="0.3"/>
    <row r="12" spans="3:8" ht="15" customHeight="1" x14ac:dyDescent="0.25">
      <c r="C12" s="74" t="str">
        <f>HYPERLINK("#'3.2 Vehicle'!F3", "BACK")</f>
        <v>BACK</v>
      </c>
      <c r="D12" s="91"/>
      <c r="G12" s="74" t="str">
        <f>IF('1. Household'!H4 &gt; 3, HYPERLINK("#'3.4 Vehicle'!F3", "NEXT"), HYPERLINK("#'4.1 Coverage'!I3", "NEXT"))</f>
        <v>NEXT</v>
      </c>
      <c r="H12" s="91"/>
    </row>
    <row r="13" spans="3:8" ht="15" customHeight="1" thickBot="1" x14ac:dyDescent="0.3">
      <c r="C13" s="92"/>
      <c r="D13" s="93"/>
      <c r="G13" s="92"/>
      <c r="H13" s="93"/>
    </row>
    <row r="14" spans="3:8" ht="15" customHeight="1" x14ac:dyDescent="0.25"/>
    <row r="15" spans="3:8" ht="15" customHeight="1" x14ac:dyDescent="0.25"/>
    <row r="16" spans="3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17">
    <mergeCell ref="C4:E4"/>
    <mergeCell ref="F4:H4"/>
    <mergeCell ref="C2:H2"/>
    <mergeCell ref="C3:E3"/>
    <mergeCell ref="F3:H3"/>
    <mergeCell ref="C5:E5"/>
    <mergeCell ref="F5:H5"/>
    <mergeCell ref="C6:E6"/>
    <mergeCell ref="F6:H6"/>
    <mergeCell ref="C7:E7"/>
    <mergeCell ref="F7:H7"/>
    <mergeCell ref="C8:E8"/>
    <mergeCell ref="F8:H8"/>
    <mergeCell ref="G12:H13"/>
    <mergeCell ref="C9:E9"/>
    <mergeCell ref="F9:H9"/>
    <mergeCell ref="C12:D13"/>
  </mergeCells>
  <dataValidations count="1">
    <dataValidation type="list" allowBlank="1" showInputMessage="1" showErrorMessage="1" sqref="F6:H6" xr:uid="{8DB09E9C-B78B-4A41-94D4-35578E83D878}">
      <formula1>IF($F$5=FE, FEL, IF($F$5=FF, FFL, IF($F$5=FM, FML, IF($F$5=HA, HAL, IF($F$5=HC, HCL, IF($F$5=HH, HHL, IF($F$5=HE,HEL, IF($F$5=HS, HSL, IF($F$5=NG, NGL, IF($F$5=NS, NSL, IF($F$5=TC, TCL, IF($F$5=TP, TPL, B1))))))))))))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BDE694-6FA1-431B-B376-756B62ABDC3B}">
          <x14:formula1>
            <xm:f>IF($F$4 = "Ford", 'Vehicles &amp; GRG'!$E$13:$E$92, IF($F$4 = "Honda", 'Vehicles &amp; GRG'!$E$113:$E$162, IF($F$4 = "Hyundai", 'Vehicles &amp; GRG'!$E$173:$E$202, IF($F$4 = "Nissan", 'Vehicles &amp; GRG'!$E$213:$E$252, IF($F$4 = "Toyota", 'Vehicles &amp; GRG'!$E$283:$E$312, $B$1)))))</xm:f>
          </x14:formula1>
          <xm:sqref>F5:H5</xm:sqref>
        </x14:dataValidation>
        <x14:dataValidation type="list" allowBlank="1" showInputMessage="1" showErrorMessage="1" xr:uid="{4A15D191-723B-4D1C-90D1-DE0326726C49}">
          <x14:formula1>
            <xm:f>'Vehicles &amp; GRG'!$D$43:$D$312</xm:f>
          </x14:formula1>
          <xm:sqref>F4:H4</xm:sqref>
        </x14:dataValidation>
        <x14:dataValidation type="list" allowBlank="1" showInputMessage="1" showErrorMessage="1" xr:uid="{68D642AB-E07B-4824-9CF2-216F2C8B55A0}">
          <x14:formula1>
            <xm:f>'Vehicles &amp; GRG'!$C$13:$C$22</xm:f>
          </x14:formula1>
          <xm:sqref>F3:H3</xm:sqref>
        </x14:dataValidation>
        <x14:dataValidation type="list" allowBlank="1" showInputMessage="1" showErrorMessage="1" xr:uid="{1E1950EC-A4C9-4B67-8F64-D83CA273EB53}">
          <x14:formula1>
            <xm:f>DRG!$B$45:$B$48</xm:f>
          </x14:formula1>
          <xm:sqref>F9:H9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7C12-E2F2-499B-A243-1C110777EB71}">
  <sheetPr codeName="Sheet11"/>
  <dimension ref="A1:H34"/>
  <sheetViews>
    <sheetView showGridLines="0" workbookViewId="0">
      <selection activeCell="G12" sqref="G12:H13"/>
    </sheetView>
  </sheetViews>
  <sheetFormatPr defaultRowHeight="15" x14ac:dyDescent="0.25"/>
  <cols>
    <col min="1" max="1" width="35.7109375" style="61" customWidth="1"/>
  </cols>
  <sheetData>
    <row r="1" spans="3:8" ht="15" customHeight="1" thickBot="1" x14ac:dyDescent="0.3"/>
    <row r="2" spans="3:8" ht="15" customHeight="1" thickBot="1" x14ac:dyDescent="0.3">
      <c r="C2" s="71" t="s">
        <v>68</v>
      </c>
      <c r="D2" s="72"/>
      <c r="E2" s="72"/>
      <c r="F2" s="72"/>
      <c r="G2" s="72"/>
      <c r="H2" s="73"/>
    </row>
    <row r="3" spans="3:8" ht="15" customHeight="1" thickBot="1" x14ac:dyDescent="0.3">
      <c r="C3" s="80" t="s">
        <v>21</v>
      </c>
      <c r="D3" s="81"/>
      <c r="E3" s="82"/>
      <c r="F3" s="88"/>
      <c r="G3" s="90"/>
      <c r="H3" s="89"/>
    </row>
    <row r="4" spans="3:8" ht="15" customHeight="1" thickBot="1" x14ac:dyDescent="0.3">
      <c r="C4" s="80" t="s">
        <v>19</v>
      </c>
      <c r="D4" s="81"/>
      <c r="E4" s="82"/>
      <c r="F4" s="88"/>
      <c r="G4" s="90"/>
      <c r="H4" s="89"/>
    </row>
    <row r="5" spans="3:8" ht="15" customHeight="1" thickBot="1" x14ac:dyDescent="0.3">
      <c r="C5" s="80" t="s">
        <v>20</v>
      </c>
      <c r="D5" s="81"/>
      <c r="E5" s="82"/>
      <c r="F5" s="88"/>
      <c r="G5" s="90"/>
      <c r="H5" s="89"/>
    </row>
    <row r="6" spans="3:8" ht="15" customHeight="1" thickBot="1" x14ac:dyDescent="0.3">
      <c r="C6" s="80" t="s">
        <v>22</v>
      </c>
      <c r="D6" s="81"/>
      <c r="E6" s="82"/>
      <c r="F6" s="88"/>
      <c r="G6" s="90"/>
      <c r="H6" s="89"/>
    </row>
    <row r="7" spans="3:8" ht="15" customHeight="1" thickBot="1" x14ac:dyDescent="0.3">
      <c r="C7" s="80" t="s">
        <v>23</v>
      </c>
      <c r="D7" s="81"/>
      <c r="E7" s="82"/>
      <c r="F7" s="88"/>
      <c r="G7" s="90"/>
      <c r="H7" s="89"/>
    </row>
    <row r="8" spans="3:8" ht="15" customHeight="1" thickBot="1" x14ac:dyDescent="0.3">
      <c r="C8" s="80" t="s">
        <v>24</v>
      </c>
      <c r="D8" s="81"/>
      <c r="E8" s="82"/>
      <c r="F8" s="88"/>
      <c r="G8" s="90"/>
      <c r="H8" s="89"/>
    </row>
    <row r="9" spans="3:8" ht="15" customHeight="1" thickBot="1" x14ac:dyDescent="0.3">
      <c r="C9" s="80" t="s">
        <v>122</v>
      </c>
      <c r="D9" s="81"/>
      <c r="E9" s="82"/>
      <c r="F9" s="88"/>
      <c r="G9" s="90"/>
      <c r="H9" s="89"/>
    </row>
    <row r="10" spans="3:8" ht="15" customHeight="1" x14ac:dyDescent="0.25"/>
    <row r="11" spans="3:8" ht="15" customHeight="1" thickBot="1" x14ac:dyDescent="0.3"/>
    <row r="12" spans="3:8" ht="15" customHeight="1" x14ac:dyDescent="0.25">
      <c r="C12" s="74" t="str">
        <f>HYPERLINK("#'3.3 Vehicle'!F3", "BACK")</f>
        <v>BACK</v>
      </c>
      <c r="D12" s="91"/>
      <c r="G12" s="74" t="str">
        <f>HYPERLINK("#'4.1 Coverage'!I3", "NEXT")</f>
        <v>NEXT</v>
      </c>
      <c r="H12" s="91"/>
    </row>
    <row r="13" spans="3:8" ht="15" customHeight="1" thickBot="1" x14ac:dyDescent="0.3">
      <c r="C13" s="92"/>
      <c r="D13" s="93"/>
      <c r="G13" s="92"/>
      <c r="H13" s="93"/>
    </row>
    <row r="14" spans="3:8" ht="15" customHeight="1" x14ac:dyDescent="0.25"/>
    <row r="15" spans="3:8" ht="15" customHeight="1" x14ac:dyDescent="0.25"/>
    <row r="16" spans="3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17">
    <mergeCell ref="C4:E4"/>
    <mergeCell ref="F4:H4"/>
    <mergeCell ref="C2:H2"/>
    <mergeCell ref="C3:E3"/>
    <mergeCell ref="F3:H3"/>
    <mergeCell ref="C5:E5"/>
    <mergeCell ref="F5:H5"/>
    <mergeCell ref="C6:E6"/>
    <mergeCell ref="F6:H6"/>
    <mergeCell ref="C7:E7"/>
    <mergeCell ref="F7:H7"/>
    <mergeCell ref="C8:E8"/>
    <mergeCell ref="F8:H8"/>
    <mergeCell ref="G12:H13"/>
    <mergeCell ref="C9:E9"/>
    <mergeCell ref="F9:H9"/>
    <mergeCell ref="C12:D13"/>
  </mergeCells>
  <dataValidations count="1">
    <dataValidation type="list" allowBlank="1" showInputMessage="1" showErrorMessage="1" sqref="F6:H6" xr:uid="{33788DF5-63EE-413B-B131-1BABFB2AA6E5}">
      <formula1>IF($F$5=FE, FEL, IF($F$5=FF, FFL, IF($F$5=FM, FML, IF($F$5=HA, HAL, IF($F$5=HC, HCL, IF($F$5=HH, HHL, IF($F$5=HE,HEL, IF($F$5=HS, HSL, IF($F$5=NG, NGL, IF($F$5=NS, NSL, IF($F$5=TC, TCL, IF($F$5=TP, TPL, B1))))))))))))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B6B053A-88C9-44B6-8F80-8E57C0972FD8}">
          <x14:formula1>
            <xm:f>'Vehicles &amp; GRG'!$C$13:$C$22</xm:f>
          </x14:formula1>
          <xm:sqref>F3:H3</xm:sqref>
        </x14:dataValidation>
        <x14:dataValidation type="list" allowBlank="1" showInputMessage="1" showErrorMessage="1" xr:uid="{DB310AB1-35E4-49AE-85E4-B1D7E5B3265F}">
          <x14:formula1>
            <xm:f>'Vehicles &amp; GRG'!$D$43:$D$312</xm:f>
          </x14:formula1>
          <xm:sqref>F4:H4</xm:sqref>
        </x14:dataValidation>
        <x14:dataValidation type="list" allowBlank="1" showInputMessage="1" showErrorMessage="1" xr:uid="{AC15F3E2-4781-4522-BD30-BD62F6F4938F}">
          <x14:formula1>
            <xm:f>IF($F$4 = "Ford", 'Vehicles &amp; GRG'!$E$13:$E$92, IF($F$4 = "Honda", 'Vehicles &amp; GRG'!$E$113:$E$162, IF($F$4 = "Hyundai", 'Vehicles &amp; GRG'!$E$173:$E$202, IF($F$4 = "Nissan", 'Vehicles &amp; GRG'!$E$213:$E$252, IF($F$4 = "Toyota", 'Vehicles &amp; GRG'!$E$283:$E$312, $B$1)))))</xm:f>
          </x14:formula1>
          <xm:sqref>F5:H5</xm:sqref>
        </x14:dataValidation>
        <x14:dataValidation type="list" allowBlank="1" showInputMessage="1" showErrorMessage="1" xr:uid="{97006641-E66D-48B2-807B-C74E1E88AB1D}">
          <x14:formula1>
            <xm:f>DRG!$B$45:$B$48</xm:f>
          </x14:formula1>
          <xm:sqref>F9:H9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69DFE-20E6-468A-9D49-17527E29C858}">
  <sheetPr codeName="Sheet12"/>
  <dimension ref="A1:M34"/>
  <sheetViews>
    <sheetView showGridLines="0" workbookViewId="0">
      <selection activeCell="L14" sqref="L14:M15"/>
    </sheetView>
  </sheetViews>
  <sheetFormatPr defaultRowHeight="15" x14ac:dyDescent="0.25"/>
  <cols>
    <col min="1" max="1" width="35.7109375" style="61" customWidth="1"/>
  </cols>
  <sheetData>
    <row r="1" spans="3:13" ht="15" customHeight="1" thickBot="1" x14ac:dyDescent="0.3"/>
    <row r="2" spans="3:13" ht="15" customHeight="1" thickBot="1" x14ac:dyDescent="0.3">
      <c r="C2" s="71" t="s">
        <v>179</v>
      </c>
      <c r="D2" s="72"/>
      <c r="E2" s="72"/>
      <c r="F2" s="72"/>
      <c r="G2" s="72"/>
      <c r="H2" s="72"/>
      <c r="I2" s="72"/>
      <c r="J2" s="72"/>
      <c r="K2" s="72"/>
      <c r="L2" s="72"/>
      <c r="M2" s="73"/>
    </row>
    <row r="3" spans="3:13" ht="15" customHeight="1" thickBot="1" x14ac:dyDescent="0.3">
      <c r="C3" s="98" t="s">
        <v>144</v>
      </c>
      <c r="D3" s="99"/>
      <c r="E3" s="99"/>
      <c r="F3" s="99"/>
      <c r="G3" s="99"/>
      <c r="H3" s="100"/>
      <c r="I3" s="96"/>
      <c r="J3" s="97"/>
      <c r="K3" s="80" t="s">
        <v>174</v>
      </c>
      <c r="L3" s="81"/>
      <c r="M3" s="82"/>
    </row>
    <row r="4" spans="3:13" ht="15" customHeight="1" thickBot="1" x14ac:dyDescent="0.3">
      <c r="C4" s="80" t="s">
        <v>145</v>
      </c>
      <c r="D4" s="81"/>
      <c r="E4" s="81"/>
      <c r="F4" s="81"/>
      <c r="G4" s="81"/>
      <c r="H4" s="82"/>
      <c r="I4" s="94"/>
      <c r="J4" s="95"/>
      <c r="K4" s="80" t="s">
        <v>175</v>
      </c>
      <c r="L4" s="81"/>
      <c r="M4" s="82"/>
    </row>
    <row r="5" spans="3:13" ht="15" customHeight="1" thickBot="1" x14ac:dyDescent="0.3">
      <c r="C5" s="80" t="s">
        <v>146</v>
      </c>
      <c r="D5" s="81"/>
      <c r="E5" s="81"/>
      <c r="F5" s="81"/>
      <c r="G5" s="81"/>
      <c r="H5" s="82"/>
      <c r="I5" s="94"/>
      <c r="J5" s="95"/>
      <c r="K5" s="80" t="s">
        <v>174</v>
      </c>
      <c r="L5" s="81"/>
      <c r="M5" s="82"/>
    </row>
    <row r="6" spans="3:13" ht="15" customHeight="1" thickBot="1" x14ac:dyDescent="0.3">
      <c r="C6" s="80" t="s">
        <v>147</v>
      </c>
      <c r="D6" s="81"/>
      <c r="E6" s="81"/>
      <c r="F6" s="81"/>
      <c r="G6" s="81"/>
      <c r="H6" s="82"/>
      <c r="I6" s="94"/>
      <c r="J6" s="95"/>
      <c r="K6" s="80" t="s">
        <v>176</v>
      </c>
      <c r="L6" s="81"/>
      <c r="M6" s="82"/>
    </row>
    <row r="7" spans="3:13" ht="15" customHeight="1" thickBot="1" x14ac:dyDescent="0.3">
      <c r="C7" s="80" t="s">
        <v>149</v>
      </c>
      <c r="D7" s="81"/>
      <c r="E7" s="81"/>
      <c r="F7" s="81"/>
      <c r="G7" s="81"/>
      <c r="H7" s="82"/>
      <c r="I7" s="94"/>
      <c r="J7" s="95"/>
      <c r="K7" s="80" t="s">
        <v>177</v>
      </c>
      <c r="L7" s="81"/>
      <c r="M7" s="82"/>
    </row>
    <row r="8" spans="3:13" ht="15" customHeight="1" thickBot="1" x14ac:dyDescent="0.3">
      <c r="C8" s="80" t="s">
        <v>148</v>
      </c>
      <c r="D8" s="81"/>
      <c r="E8" s="81"/>
      <c r="F8" s="81"/>
      <c r="G8" s="81"/>
      <c r="H8" s="82"/>
      <c r="I8" s="94"/>
      <c r="J8" s="95"/>
      <c r="K8" s="80"/>
      <c r="L8" s="81"/>
      <c r="M8" s="82"/>
    </row>
    <row r="9" spans="3:13" ht="15" customHeight="1" thickBot="1" x14ac:dyDescent="0.3">
      <c r="C9" s="80" t="s">
        <v>163</v>
      </c>
      <c r="D9" s="81"/>
      <c r="E9" s="81"/>
      <c r="F9" s="81"/>
      <c r="G9" s="81"/>
      <c r="H9" s="82"/>
      <c r="I9" s="94"/>
      <c r="J9" s="95"/>
      <c r="K9" s="80"/>
      <c r="L9" s="81"/>
      <c r="M9" s="82"/>
    </row>
    <row r="10" spans="3:13" ht="15" customHeight="1" thickBot="1" x14ac:dyDescent="0.3">
      <c r="C10" s="80" t="s">
        <v>164</v>
      </c>
      <c r="D10" s="81"/>
      <c r="E10" s="81"/>
      <c r="F10" s="81"/>
      <c r="G10" s="81"/>
      <c r="H10" s="82"/>
      <c r="I10" s="94"/>
      <c r="J10" s="95"/>
      <c r="K10" s="80"/>
      <c r="L10" s="81"/>
      <c r="M10" s="82"/>
    </row>
    <row r="11" spans="3:13" ht="15" customHeight="1" thickBot="1" x14ac:dyDescent="0.3">
      <c r="C11" s="80" t="s">
        <v>165</v>
      </c>
      <c r="D11" s="81"/>
      <c r="E11" s="81"/>
      <c r="F11" s="81"/>
      <c r="G11" s="81"/>
      <c r="H11" s="82"/>
      <c r="I11" s="94"/>
      <c r="J11" s="95"/>
      <c r="K11" s="80" t="s">
        <v>178</v>
      </c>
      <c r="L11" s="81"/>
      <c r="M11" s="82"/>
    </row>
    <row r="12" spans="3:13" ht="15" customHeight="1" x14ac:dyDescent="0.25"/>
    <row r="13" spans="3:13" ht="15" customHeight="1" thickBot="1" x14ac:dyDescent="0.3"/>
    <row r="14" spans="3:13" ht="15" customHeight="1" x14ac:dyDescent="0.25">
      <c r="C14" s="74" t="str">
        <f>IF(q.v=4, HYPERLINK("#'3.4 Vehicle'!F3", "BACK"), IF(q.v=3, HYPERLINK("#'3.3 Vehicle'!F3", "BACK"), IF(q.v=2, HYPERLINK("#'3.2 Vehicle'!F3", "BACK"), HYPERLINK("#'3.1 Vehicle'!F3", "BACK"))))</f>
        <v>BACK</v>
      </c>
      <c r="D14" s="91"/>
      <c r="L14" s="74" t="str">
        <f>IF('1. Household'!H4 &gt; 1, HYPERLINK("#'4.2 Coverage'!I3", "NEXT"), HYPERLINK("#'5. Final Quote'!C3", "QUOTE"))</f>
        <v>QUOTE</v>
      </c>
      <c r="M14" s="91"/>
    </row>
    <row r="15" spans="3:13" ht="15" customHeight="1" thickBot="1" x14ac:dyDescent="0.3">
      <c r="C15" s="92"/>
      <c r="D15" s="93"/>
      <c r="L15" s="92"/>
      <c r="M15" s="93"/>
    </row>
    <row r="16" spans="3:1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30">
    <mergeCell ref="C14:D15"/>
    <mergeCell ref="K8:M8"/>
    <mergeCell ref="K9:M9"/>
    <mergeCell ref="I10:J10"/>
    <mergeCell ref="I11:J11"/>
    <mergeCell ref="C10:H10"/>
    <mergeCell ref="C11:H11"/>
    <mergeCell ref="C8:H8"/>
    <mergeCell ref="C9:H9"/>
    <mergeCell ref="L14:M15"/>
    <mergeCell ref="I9:J9"/>
    <mergeCell ref="K10:M10"/>
    <mergeCell ref="K11:M11"/>
    <mergeCell ref="I8:J8"/>
    <mergeCell ref="C2:M2"/>
    <mergeCell ref="K3:M3"/>
    <mergeCell ref="K4:M4"/>
    <mergeCell ref="K5:M5"/>
    <mergeCell ref="K6:M6"/>
    <mergeCell ref="I3:J3"/>
    <mergeCell ref="I4:J4"/>
    <mergeCell ref="C3:H3"/>
    <mergeCell ref="C4:H4"/>
    <mergeCell ref="C5:H5"/>
    <mergeCell ref="C6:H6"/>
    <mergeCell ref="K7:M7"/>
    <mergeCell ref="C7:H7"/>
    <mergeCell ref="I5:J5"/>
    <mergeCell ref="I6:J6"/>
    <mergeCell ref="I7:J7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A964CB4-9588-49A9-A6D9-03BAD0472434}">
          <x14:formula1>
            <xm:f>'Coverage Multiples'!$B$3:$B$8</xm:f>
          </x14:formula1>
          <xm:sqref>I3:J3</xm:sqref>
        </x14:dataValidation>
        <x14:dataValidation type="list" allowBlank="1" showInputMessage="1" showErrorMessage="1" xr:uid="{ACA67209-3A95-4B14-B844-71434B82D5E8}">
          <x14:formula1>
            <xm:f>'Coverage Multiples'!$B$11:$B$15</xm:f>
          </x14:formula1>
          <xm:sqref>I4:J4</xm:sqref>
        </x14:dataValidation>
        <x14:dataValidation type="list" allowBlank="1" showInputMessage="1" showErrorMessage="1" xr:uid="{316CD46F-3CF4-45DE-B1CB-F8259304F1EF}">
          <x14:formula1>
            <xm:f>'Coverage Multiples'!$B$18:$B$22</xm:f>
          </x14:formula1>
          <xm:sqref>I5:J5</xm:sqref>
        </x14:dataValidation>
        <x14:dataValidation type="list" allowBlank="1" showInputMessage="1" showErrorMessage="1" xr:uid="{60DC580C-B623-4418-884C-CB54CE3B738E}">
          <x14:formula1>
            <xm:f>'Coverage Multiples'!$B$25:$B$26</xm:f>
          </x14:formula1>
          <xm:sqref>I6:J6</xm:sqref>
        </x14:dataValidation>
        <x14:dataValidation type="list" allowBlank="1" showInputMessage="1" showErrorMessage="1" xr:uid="{174196EB-A08B-4BDA-BCBB-7B4274D34921}">
          <x14:formula1>
            <xm:f>'Coverage Multiples'!$I$3:$I$10</xm:f>
          </x14:formula1>
          <xm:sqref>I7:J7</xm:sqref>
        </x14:dataValidation>
        <x14:dataValidation type="list" allowBlank="1" showInputMessage="1" showErrorMessage="1" xr:uid="{9D804023-0E58-40E6-BF7E-EC43A521534B}">
          <x14:formula1>
            <xm:f>'Coverage Multiples'!$I$13:$I$14</xm:f>
          </x14:formula1>
          <xm:sqref>I8:J8</xm:sqref>
        </x14:dataValidation>
        <x14:dataValidation type="list" allowBlank="1" showInputMessage="1" showErrorMessage="1" xr:uid="{E240EBE2-03D2-4A26-9F76-21538848B3CD}">
          <x14:formula1>
            <xm:f>'Coverage Multiples'!$I$17:$I$22</xm:f>
          </x14:formula1>
          <xm:sqref>I9:J9</xm:sqref>
        </x14:dataValidation>
        <x14:dataValidation type="list" allowBlank="1" showInputMessage="1" showErrorMessage="1" xr:uid="{1049D932-9758-4CA7-9867-B099ED7C4220}">
          <x14:formula1>
            <xm:f>'Coverage Multiples'!$I$25:$I$29</xm:f>
          </x14:formula1>
          <xm:sqref>I10:J10</xm:sqref>
        </x14:dataValidation>
        <x14:dataValidation type="list" allowBlank="1" showInputMessage="1" showErrorMessage="1" xr:uid="{0A81E33E-8656-4F60-BD19-78DFE0E1B368}">
          <x14:formula1>
            <xm:f>'Coverage Multiples'!$P$3:$P$5</xm:f>
          </x14:formula1>
          <xm:sqref>I11:J11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216AC-4049-46AD-9620-3B2B36C7F1CE}">
  <sheetPr codeName="Sheet13"/>
  <dimension ref="A1:M34"/>
  <sheetViews>
    <sheetView showGridLines="0" workbookViewId="0">
      <selection activeCell="L14" sqref="L14:M15"/>
    </sheetView>
  </sheetViews>
  <sheetFormatPr defaultRowHeight="15" x14ac:dyDescent="0.25"/>
  <cols>
    <col min="1" max="1" width="35.7109375" style="61" customWidth="1"/>
  </cols>
  <sheetData>
    <row r="1" spans="3:13" ht="15" customHeight="1" thickBot="1" x14ac:dyDescent="0.3"/>
    <row r="2" spans="3:13" ht="15" customHeight="1" thickBot="1" x14ac:dyDescent="0.3">
      <c r="C2" s="71" t="s">
        <v>180</v>
      </c>
      <c r="D2" s="72"/>
      <c r="E2" s="72"/>
      <c r="F2" s="72"/>
      <c r="G2" s="72"/>
      <c r="H2" s="72"/>
      <c r="I2" s="72"/>
      <c r="J2" s="72"/>
      <c r="K2" s="72"/>
      <c r="L2" s="72"/>
      <c r="M2" s="73"/>
    </row>
    <row r="3" spans="3:13" ht="15" customHeight="1" thickBot="1" x14ac:dyDescent="0.3">
      <c r="C3" s="98" t="s">
        <v>144</v>
      </c>
      <c r="D3" s="99"/>
      <c r="E3" s="99"/>
      <c r="F3" s="99"/>
      <c r="G3" s="99"/>
      <c r="H3" s="100"/>
      <c r="I3" s="96"/>
      <c r="J3" s="97"/>
      <c r="K3" s="80" t="s">
        <v>174</v>
      </c>
      <c r="L3" s="81"/>
      <c r="M3" s="82"/>
    </row>
    <row r="4" spans="3:13" ht="15" customHeight="1" thickBot="1" x14ac:dyDescent="0.3">
      <c r="C4" s="80" t="s">
        <v>145</v>
      </c>
      <c r="D4" s="81"/>
      <c r="E4" s="81"/>
      <c r="F4" s="81"/>
      <c r="G4" s="81"/>
      <c r="H4" s="82"/>
      <c r="I4" s="94"/>
      <c r="J4" s="95"/>
      <c r="K4" s="80" t="s">
        <v>175</v>
      </c>
      <c r="L4" s="81"/>
      <c r="M4" s="82"/>
    </row>
    <row r="5" spans="3:13" ht="15" customHeight="1" thickBot="1" x14ac:dyDescent="0.3">
      <c r="C5" s="80" t="s">
        <v>146</v>
      </c>
      <c r="D5" s="81"/>
      <c r="E5" s="81"/>
      <c r="F5" s="81"/>
      <c r="G5" s="81"/>
      <c r="H5" s="82"/>
      <c r="I5" s="94"/>
      <c r="J5" s="95"/>
      <c r="K5" s="80" t="s">
        <v>174</v>
      </c>
      <c r="L5" s="81"/>
      <c r="M5" s="82"/>
    </row>
    <row r="6" spans="3:13" ht="15" customHeight="1" thickBot="1" x14ac:dyDescent="0.3">
      <c r="C6" s="80" t="s">
        <v>147</v>
      </c>
      <c r="D6" s="81"/>
      <c r="E6" s="81"/>
      <c r="F6" s="81"/>
      <c r="G6" s="81"/>
      <c r="H6" s="82"/>
      <c r="I6" s="94"/>
      <c r="J6" s="95"/>
      <c r="K6" s="80" t="s">
        <v>176</v>
      </c>
      <c r="L6" s="81"/>
      <c r="M6" s="82"/>
    </row>
    <row r="7" spans="3:13" ht="15" customHeight="1" thickBot="1" x14ac:dyDescent="0.3">
      <c r="C7" s="80" t="s">
        <v>149</v>
      </c>
      <c r="D7" s="81"/>
      <c r="E7" s="81"/>
      <c r="F7" s="81"/>
      <c r="G7" s="81"/>
      <c r="H7" s="82"/>
      <c r="I7" s="94"/>
      <c r="J7" s="95"/>
      <c r="K7" s="80" t="s">
        <v>177</v>
      </c>
      <c r="L7" s="81"/>
      <c r="M7" s="82"/>
    </row>
    <row r="8" spans="3:13" ht="15" customHeight="1" thickBot="1" x14ac:dyDescent="0.3">
      <c r="C8" s="80" t="s">
        <v>148</v>
      </c>
      <c r="D8" s="81"/>
      <c r="E8" s="81"/>
      <c r="F8" s="81"/>
      <c r="G8" s="81"/>
      <c r="H8" s="82"/>
      <c r="I8" s="94"/>
      <c r="J8" s="95"/>
      <c r="K8" s="80"/>
      <c r="L8" s="81"/>
      <c r="M8" s="82"/>
    </row>
    <row r="9" spans="3:13" ht="15" customHeight="1" thickBot="1" x14ac:dyDescent="0.3">
      <c r="C9" s="80" t="s">
        <v>163</v>
      </c>
      <c r="D9" s="81"/>
      <c r="E9" s="81"/>
      <c r="F9" s="81"/>
      <c r="G9" s="81"/>
      <c r="H9" s="82"/>
      <c r="I9" s="94"/>
      <c r="J9" s="95"/>
      <c r="K9" s="80"/>
      <c r="L9" s="81"/>
      <c r="M9" s="82"/>
    </row>
    <row r="10" spans="3:13" ht="15" customHeight="1" thickBot="1" x14ac:dyDescent="0.3">
      <c r="C10" s="80" t="s">
        <v>164</v>
      </c>
      <c r="D10" s="81"/>
      <c r="E10" s="81"/>
      <c r="F10" s="81"/>
      <c r="G10" s="81"/>
      <c r="H10" s="82"/>
      <c r="I10" s="94"/>
      <c r="J10" s="95"/>
      <c r="K10" s="80"/>
      <c r="L10" s="81"/>
      <c r="M10" s="82"/>
    </row>
    <row r="11" spans="3:13" ht="15" customHeight="1" thickBot="1" x14ac:dyDescent="0.3">
      <c r="C11" s="80" t="s">
        <v>165</v>
      </c>
      <c r="D11" s="81"/>
      <c r="E11" s="81"/>
      <c r="F11" s="81"/>
      <c r="G11" s="81"/>
      <c r="H11" s="82"/>
      <c r="I11" s="94"/>
      <c r="J11" s="95"/>
      <c r="K11" s="80" t="s">
        <v>178</v>
      </c>
      <c r="L11" s="81"/>
      <c r="M11" s="82"/>
    </row>
    <row r="12" spans="3:13" ht="15" customHeight="1" x14ac:dyDescent="0.25"/>
    <row r="13" spans="3:13" ht="15" customHeight="1" thickBot="1" x14ac:dyDescent="0.3"/>
    <row r="14" spans="3:13" ht="15" customHeight="1" x14ac:dyDescent="0.25">
      <c r="C14" s="74" t="str">
        <f>HYPERLINK("#'4.1 Coverage'!I3", "BACK")</f>
        <v>BACK</v>
      </c>
      <c r="D14" s="91"/>
      <c r="L14" s="74" t="str">
        <f>IF('1. Household'!H4 &gt; 2, HYPERLINK("#'4.3 Coverage'!I3", "NEXT"), HYPERLINK("#'5. Final Quote'!C3", "QUOTE"))</f>
        <v>QUOTE</v>
      </c>
      <c r="M14" s="91"/>
    </row>
    <row r="15" spans="3:13" ht="15" customHeight="1" thickBot="1" x14ac:dyDescent="0.3">
      <c r="C15" s="92"/>
      <c r="D15" s="93"/>
      <c r="L15" s="92"/>
      <c r="M15" s="93"/>
    </row>
    <row r="16" spans="3:1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30">
    <mergeCell ref="K7:M7"/>
    <mergeCell ref="K8:M8"/>
    <mergeCell ref="K9:M9"/>
    <mergeCell ref="C10:H10"/>
    <mergeCell ref="C11:H11"/>
    <mergeCell ref="C8:H8"/>
    <mergeCell ref="C9:H9"/>
    <mergeCell ref="C2:M2"/>
    <mergeCell ref="K3:M3"/>
    <mergeCell ref="K4:M4"/>
    <mergeCell ref="K5:M5"/>
    <mergeCell ref="K6:M6"/>
    <mergeCell ref="I3:J3"/>
    <mergeCell ref="I4:J4"/>
    <mergeCell ref="L14:M15"/>
    <mergeCell ref="C3:H3"/>
    <mergeCell ref="C4:H4"/>
    <mergeCell ref="C5:H5"/>
    <mergeCell ref="C6:H6"/>
    <mergeCell ref="C7:H7"/>
    <mergeCell ref="I5:J5"/>
    <mergeCell ref="I6:J6"/>
    <mergeCell ref="I7:J7"/>
    <mergeCell ref="I8:J8"/>
    <mergeCell ref="I9:J9"/>
    <mergeCell ref="K10:M10"/>
    <mergeCell ref="K11:M11"/>
    <mergeCell ref="I10:J10"/>
    <mergeCell ref="C14:D15"/>
    <mergeCell ref="I11:J1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235ECCB-2269-41BB-9D7E-5F44CD687BC5}">
          <x14:formula1>
            <xm:f>'Coverage Multiples'!$B$3:$B$8</xm:f>
          </x14:formula1>
          <xm:sqref>I3:J3</xm:sqref>
        </x14:dataValidation>
        <x14:dataValidation type="list" allowBlank="1" showInputMessage="1" showErrorMessage="1" xr:uid="{569505A6-477F-415E-A064-F493DD0C1282}">
          <x14:formula1>
            <xm:f>'Coverage Multiples'!$B$11:$B$15</xm:f>
          </x14:formula1>
          <xm:sqref>I4:J4</xm:sqref>
        </x14:dataValidation>
        <x14:dataValidation type="list" allowBlank="1" showInputMessage="1" showErrorMessage="1" xr:uid="{90E466AE-907F-42DB-BB91-653B6D4C1E37}">
          <x14:formula1>
            <xm:f>'Coverage Multiples'!$B$25:$B$26</xm:f>
          </x14:formula1>
          <xm:sqref>I6:J6</xm:sqref>
        </x14:dataValidation>
        <x14:dataValidation type="list" allowBlank="1" showInputMessage="1" showErrorMessage="1" xr:uid="{559BC77B-A9DE-4B2B-AA1F-AA18E4E0E0EB}">
          <x14:formula1>
            <xm:f>'Coverage Multiples'!$B$18:$B$22</xm:f>
          </x14:formula1>
          <xm:sqref>I5:J5</xm:sqref>
        </x14:dataValidation>
        <x14:dataValidation type="list" allowBlank="1" showInputMessage="1" showErrorMessage="1" xr:uid="{7F088CBF-EA7A-4373-AB1F-0BDB0CD33CC9}">
          <x14:formula1>
            <xm:f>'Coverage Multiples'!$I$13:$I$14</xm:f>
          </x14:formula1>
          <xm:sqref>I8:J8</xm:sqref>
        </x14:dataValidation>
        <x14:dataValidation type="list" allowBlank="1" showInputMessage="1" showErrorMessage="1" xr:uid="{182A18F0-7C7A-429E-A63B-916FFAA195D5}">
          <x14:formula1>
            <xm:f>'Coverage Multiples'!$I$3:$I$10</xm:f>
          </x14:formula1>
          <xm:sqref>I7:J7</xm:sqref>
        </x14:dataValidation>
        <x14:dataValidation type="list" allowBlank="1" showInputMessage="1" showErrorMessage="1" xr:uid="{78CBDED5-DF13-4CC1-A022-E7F51B77F089}">
          <x14:formula1>
            <xm:f>'Coverage Multiples'!$I$25:$I$29</xm:f>
          </x14:formula1>
          <xm:sqref>I10:J10</xm:sqref>
        </x14:dataValidation>
        <x14:dataValidation type="list" allowBlank="1" showInputMessage="1" showErrorMessage="1" xr:uid="{F813BE88-0DAB-48A7-B609-7662C07B6856}">
          <x14:formula1>
            <xm:f>'Coverage Multiples'!$I$17:$I$22</xm:f>
          </x14:formula1>
          <xm:sqref>I9:J9</xm:sqref>
        </x14:dataValidation>
        <x14:dataValidation type="list" allowBlank="1" showInputMessage="1" showErrorMessage="1" xr:uid="{3F3A3711-2DEA-40B8-8556-DBC75321B71D}">
          <x14:formula1>
            <xm:f>'Coverage Multiples'!$P$3:$P$5</xm:f>
          </x14:formula1>
          <xm:sqref>I11:J11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EF538-4DBB-4D9D-A7E8-FB1BA5D8010C}">
  <sheetPr codeName="Sheet14"/>
  <dimension ref="A1:M34"/>
  <sheetViews>
    <sheetView showGridLines="0" workbookViewId="0">
      <selection activeCell="L14" sqref="L14:M15"/>
    </sheetView>
  </sheetViews>
  <sheetFormatPr defaultRowHeight="15" x14ac:dyDescent="0.25"/>
  <cols>
    <col min="1" max="1" width="35.7109375" style="61" customWidth="1"/>
  </cols>
  <sheetData>
    <row r="1" spans="3:13" ht="15" customHeight="1" thickBot="1" x14ac:dyDescent="0.3"/>
    <row r="2" spans="3:13" ht="15" customHeight="1" thickBot="1" x14ac:dyDescent="0.3">
      <c r="C2" s="71" t="s">
        <v>181</v>
      </c>
      <c r="D2" s="72"/>
      <c r="E2" s="72"/>
      <c r="F2" s="72"/>
      <c r="G2" s="72"/>
      <c r="H2" s="72"/>
      <c r="I2" s="72"/>
      <c r="J2" s="72"/>
      <c r="K2" s="72"/>
      <c r="L2" s="72"/>
      <c r="M2" s="73"/>
    </row>
    <row r="3" spans="3:13" ht="15" customHeight="1" thickBot="1" x14ac:dyDescent="0.3">
      <c r="C3" s="98" t="s">
        <v>144</v>
      </c>
      <c r="D3" s="99"/>
      <c r="E3" s="99"/>
      <c r="F3" s="99"/>
      <c r="G3" s="99"/>
      <c r="H3" s="100"/>
      <c r="I3" s="96"/>
      <c r="J3" s="97"/>
      <c r="K3" s="80" t="s">
        <v>174</v>
      </c>
      <c r="L3" s="81"/>
      <c r="M3" s="82"/>
    </row>
    <row r="4" spans="3:13" ht="15" customHeight="1" thickBot="1" x14ac:dyDescent="0.3">
      <c r="C4" s="80" t="s">
        <v>145</v>
      </c>
      <c r="D4" s="81"/>
      <c r="E4" s="81"/>
      <c r="F4" s="81"/>
      <c r="G4" s="81"/>
      <c r="H4" s="82"/>
      <c r="I4" s="94"/>
      <c r="J4" s="95"/>
      <c r="K4" s="80" t="s">
        <v>175</v>
      </c>
      <c r="L4" s="81"/>
      <c r="M4" s="82"/>
    </row>
    <row r="5" spans="3:13" ht="15" customHeight="1" thickBot="1" x14ac:dyDescent="0.3">
      <c r="C5" s="80" t="s">
        <v>146</v>
      </c>
      <c r="D5" s="81"/>
      <c r="E5" s="81"/>
      <c r="F5" s="81"/>
      <c r="G5" s="81"/>
      <c r="H5" s="82"/>
      <c r="I5" s="94"/>
      <c r="J5" s="95"/>
      <c r="K5" s="80" t="s">
        <v>174</v>
      </c>
      <c r="L5" s="81"/>
      <c r="M5" s="82"/>
    </row>
    <row r="6" spans="3:13" ht="15" customHeight="1" thickBot="1" x14ac:dyDescent="0.3">
      <c r="C6" s="80" t="s">
        <v>147</v>
      </c>
      <c r="D6" s="81"/>
      <c r="E6" s="81"/>
      <c r="F6" s="81"/>
      <c r="G6" s="81"/>
      <c r="H6" s="82"/>
      <c r="I6" s="94"/>
      <c r="J6" s="95"/>
      <c r="K6" s="80" t="s">
        <v>176</v>
      </c>
      <c r="L6" s="81"/>
      <c r="M6" s="82"/>
    </row>
    <row r="7" spans="3:13" ht="15" customHeight="1" thickBot="1" x14ac:dyDescent="0.3">
      <c r="C7" s="80" t="s">
        <v>149</v>
      </c>
      <c r="D7" s="81"/>
      <c r="E7" s="81"/>
      <c r="F7" s="81"/>
      <c r="G7" s="81"/>
      <c r="H7" s="82"/>
      <c r="I7" s="94"/>
      <c r="J7" s="95"/>
      <c r="K7" s="80" t="s">
        <v>177</v>
      </c>
      <c r="L7" s="81"/>
      <c r="M7" s="82"/>
    </row>
    <row r="8" spans="3:13" ht="15" customHeight="1" thickBot="1" x14ac:dyDescent="0.3">
      <c r="C8" s="80" t="s">
        <v>148</v>
      </c>
      <c r="D8" s="81"/>
      <c r="E8" s="81"/>
      <c r="F8" s="81"/>
      <c r="G8" s="81"/>
      <c r="H8" s="82"/>
      <c r="I8" s="94"/>
      <c r="J8" s="95"/>
      <c r="K8" s="80"/>
      <c r="L8" s="81"/>
      <c r="M8" s="82"/>
    </row>
    <row r="9" spans="3:13" ht="15" customHeight="1" thickBot="1" x14ac:dyDescent="0.3">
      <c r="C9" s="80" t="s">
        <v>163</v>
      </c>
      <c r="D9" s="81"/>
      <c r="E9" s="81"/>
      <c r="F9" s="81"/>
      <c r="G9" s="81"/>
      <c r="H9" s="82"/>
      <c r="I9" s="94"/>
      <c r="J9" s="95"/>
      <c r="K9" s="80"/>
      <c r="L9" s="81"/>
      <c r="M9" s="82"/>
    </row>
    <row r="10" spans="3:13" ht="15" customHeight="1" thickBot="1" x14ac:dyDescent="0.3">
      <c r="C10" s="80" t="s">
        <v>164</v>
      </c>
      <c r="D10" s="81"/>
      <c r="E10" s="81"/>
      <c r="F10" s="81"/>
      <c r="G10" s="81"/>
      <c r="H10" s="82"/>
      <c r="I10" s="94"/>
      <c r="J10" s="95"/>
      <c r="K10" s="80"/>
      <c r="L10" s="81"/>
      <c r="M10" s="82"/>
    </row>
    <row r="11" spans="3:13" ht="15" customHeight="1" thickBot="1" x14ac:dyDescent="0.3">
      <c r="C11" s="80" t="s">
        <v>165</v>
      </c>
      <c r="D11" s="81"/>
      <c r="E11" s="81"/>
      <c r="F11" s="81"/>
      <c r="G11" s="81"/>
      <c r="H11" s="82"/>
      <c r="I11" s="94"/>
      <c r="J11" s="95"/>
      <c r="K11" s="80" t="s">
        <v>178</v>
      </c>
      <c r="L11" s="81"/>
      <c r="M11" s="82"/>
    </row>
    <row r="12" spans="3:13" ht="15" customHeight="1" x14ac:dyDescent="0.25"/>
    <row r="13" spans="3:13" ht="15" customHeight="1" thickBot="1" x14ac:dyDescent="0.3"/>
    <row r="14" spans="3:13" ht="15" customHeight="1" x14ac:dyDescent="0.25">
      <c r="C14" s="74" t="str">
        <f>HYPERLINK("#'4.2 Coverage'!I3", "BACK")</f>
        <v>BACK</v>
      </c>
      <c r="D14" s="91"/>
      <c r="L14" s="74" t="str">
        <f>IF('1. Household'!H4 &gt; 3, HYPERLINK("#'4.4 Coverage'!I3", "NEXT"), HYPERLINK("#'5. Final Quote'!C3", "QUOTE"))</f>
        <v>QUOTE</v>
      </c>
      <c r="M14" s="91"/>
    </row>
    <row r="15" spans="3:13" ht="15" customHeight="1" thickBot="1" x14ac:dyDescent="0.3">
      <c r="C15" s="92"/>
      <c r="D15" s="93"/>
      <c r="L15" s="92"/>
      <c r="M15" s="93"/>
    </row>
    <row r="16" spans="3:1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30">
    <mergeCell ref="K7:M7"/>
    <mergeCell ref="K8:M8"/>
    <mergeCell ref="K9:M9"/>
    <mergeCell ref="C10:H10"/>
    <mergeCell ref="C11:H11"/>
    <mergeCell ref="C8:H8"/>
    <mergeCell ref="C9:H9"/>
    <mergeCell ref="C2:M2"/>
    <mergeCell ref="K3:M3"/>
    <mergeCell ref="K4:M4"/>
    <mergeCell ref="K5:M5"/>
    <mergeCell ref="K6:M6"/>
    <mergeCell ref="I3:J3"/>
    <mergeCell ref="I4:J4"/>
    <mergeCell ref="L14:M15"/>
    <mergeCell ref="C3:H3"/>
    <mergeCell ref="C4:H4"/>
    <mergeCell ref="C5:H5"/>
    <mergeCell ref="C6:H6"/>
    <mergeCell ref="C7:H7"/>
    <mergeCell ref="I5:J5"/>
    <mergeCell ref="I6:J6"/>
    <mergeCell ref="I7:J7"/>
    <mergeCell ref="I8:J8"/>
    <mergeCell ref="I9:J9"/>
    <mergeCell ref="K10:M10"/>
    <mergeCell ref="K11:M11"/>
    <mergeCell ref="I10:J10"/>
    <mergeCell ref="C14:D15"/>
    <mergeCell ref="I11:J1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8CF63E1-36FD-46EC-800B-6D84266D9675}">
          <x14:formula1>
            <xm:f>'Coverage Multiples'!$B$3:$B$8</xm:f>
          </x14:formula1>
          <xm:sqref>I3:J3</xm:sqref>
        </x14:dataValidation>
        <x14:dataValidation type="list" allowBlank="1" showInputMessage="1" showErrorMessage="1" xr:uid="{F7CEC5A2-24EC-4C75-BA30-F09315E31DC8}">
          <x14:formula1>
            <xm:f>'Coverage Multiples'!$B$11:$B$15</xm:f>
          </x14:formula1>
          <xm:sqref>I4:J4</xm:sqref>
        </x14:dataValidation>
        <x14:dataValidation type="list" allowBlank="1" showInputMessage="1" showErrorMessage="1" xr:uid="{7287C2CE-413E-49FF-8EE4-1A8B814B2A2C}">
          <x14:formula1>
            <xm:f>'Coverage Multiples'!$B$25:$B$26</xm:f>
          </x14:formula1>
          <xm:sqref>I6:J6</xm:sqref>
        </x14:dataValidation>
        <x14:dataValidation type="list" allowBlank="1" showInputMessage="1" showErrorMessage="1" xr:uid="{F143A182-44F2-4836-8B40-C94CD73A611B}">
          <x14:formula1>
            <xm:f>'Coverage Multiples'!$B$18:$B$22</xm:f>
          </x14:formula1>
          <xm:sqref>I5:J5</xm:sqref>
        </x14:dataValidation>
        <x14:dataValidation type="list" allowBlank="1" showInputMessage="1" showErrorMessage="1" xr:uid="{7FB7373E-83DA-478F-B059-FB297AA58F87}">
          <x14:formula1>
            <xm:f>'Coverage Multiples'!$I$13:$I$14</xm:f>
          </x14:formula1>
          <xm:sqref>I8:J8</xm:sqref>
        </x14:dataValidation>
        <x14:dataValidation type="list" allowBlank="1" showInputMessage="1" showErrorMessage="1" xr:uid="{072207DC-4660-4749-B855-BAFFD06B6864}">
          <x14:formula1>
            <xm:f>'Coverage Multiples'!$I$3:$I$10</xm:f>
          </x14:formula1>
          <xm:sqref>I7:J7</xm:sqref>
        </x14:dataValidation>
        <x14:dataValidation type="list" allowBlank="1" showInputMessage="1" showErrorMessage="1" xr:uid="{BA8A8821-4EB7-4FC8-A05C-C23677D065E7}">
          <x14:formula1>
            <xm:f>'Coverage Multiples'!$I$25:$I$29</xm:f>
          </x14:formula1>
          <xm:sqref>I10:J10</xm:sqref>
        </x14:dataValidation>
        <x14:dataValidation type="list" allowBlank="1" showInputMessage="1" showErrorMessage="1" xr:uid="{4EB83924-DF8E-4186-93C4-B8481AF8307B}">
          <x14:formula1>
            <xm:f>'Coverage Multiples'!$I$17:$I$22</xm:f>
          </x14:formula1>
          <xm:sqref>I9:J9</xm:sqref>
        </x14:dataValidation>
        <x14:dataValidation type="list" allowBlank="1" showInputMessage="1" showErrorMessage="1" xr:uid="{8CE2DCFE-06EC-41FA-8AAF-57BB1A584139}">
          <x14:formula1>
            <xm:f>'Coverage Multiples'!$P$3:$P$5</xm:f>
          </x14:formula1>
          <xm:sqref>I11:J11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1AD59-C208-4E1D-AF69-A0524892C77E}">
  <sheetPr codeName="Sheet15"/>
  <dimension ref="A1:M34"/>
  <sheetViews>
    <sheetView showGridLines="0" workbookViewId="0">
      <selection activeCell="L14" sqref="L14:M15"/>
    </sheetView>
  </sheetViews>
  <sheetFormatPr defaultRowHeight="15" x14ac:dyDescent="0.25"/>
  <cols>
    <col min="1" max="1" width="35.7109375" style="61" customWidth="1"/>
  </cols>
  <sheetData>
    <row r="1" spans="3:13" ht="15" customHeight="1" thickBot="1" x14ac:dyDescent="0.3"/>
    <row r="2" spans="3:13" ht="15" customHeight="1" thickBot="1" x14ac:dyDescent="0.3">
      <c r="C2" s="71" t="s">
        <v>182</v>
      </c>
      <c r="D2" s="72"/>
      <c r="E2" s="72"/>
      <c r="F2" s="72"/>
      <c r="G2" s="72"/>
      <c r="H2" s="72"/>
      <c r="I2" s="72"/>
      <c r="J2" s="72"/>
      <c r="K2" s="72"/>
      <c r="L2" s="72"/>
      <c r="M2" s="73"/>
    </row>
    <row r="3" spans="3:13" ht="15" customHeight="1" thickBot="1" x14ac:dyDescent="0.3">
      <c r="C3" s="98" t="s">
        <v>144</v>
      </c>
      <c r="D3" s="99"/>
      <c r="E3" s="99"/>
      <c r="F3" s="99"/>
      <c r="G3" s="99"/>
      <c r="H3" s="100"/>
      <c r="I3" s="96"/>
      <c r="J3" s="97"/>
      <c r="K3" s="80" t="s">
        <v>174</v>
      </c>
      <c r="L3" s="81"/>
      <c r="M3" s="82"/>
    </row>
    <row r="4" spans="3:13" ht="15" customHeight="1" thickBot="1" x14ac:dyDescent="0.3">
      <c r="C4" s="80" t="s">
        <v>145</v>
      </c>
      <c r="D4" s="81"/>
      <c r="E4" s="81"/>
      <c r="F4" s="81"/>
      <c r="G4" s="81"/>
      <c r="H4" s="82"/>
      <c r="I4" s="94"/>
      <c r="J4" s="95"/>
      <c r="K4" s="80" t="s">
        <v>175</v>
      </c>
      <c r="L4" s="81"/>
      <c r="M4" s="82"/>
    </row>
    <row r="5" spans="3:13" ht="15" customHeight="1" thickBot="1" x14ac:dyDescent="0.3">
      <c r="C5" s="80" t="s">
        <v>146</v>
      </c>
      <c r="D5" s="81"/>
      <c r="E5" s="81"/>
      <c r="F5" s="81"/>
      <c r="G5" s="81"/>
      <c r="H5" s="82"/>
      <c r="I5" s="94"/>
      <c r="J5" s="95"/>
      <c r="K5" s="80" t="s">
        <v>174</v>
      </c>
      <c r="L5" s="81"/>
      <c r="M5" s="82"/>
    </row>
    <row r="6" spans="3:13" ht="15" customHeight="1" thickBot="1" x14ac:dyDescent="0.3">
      <c r="C6" s="80" t="s">
        <v>147</v>
      </c>
      <c r="D6" s="81"/>
      <c r="E6" s="81"/>
      <c r="F6" s="81"/>
      <c r="G6" s="81"/>
      <c r="H6" s="82"/>
      <c r="I6" s="94"/>
      <c r="J6" s="95"/>
      <c r="K6" s="80" t="s">
        <v>176</v>
      </c>
      <c r="L6" s="81"/>
      <c r="M6" s="82"/>
    </row>
    <row r="7" spans="3:13" ht="15" customHeight="1" thickBot="1" x14ac:dyDescent="0.3">
      <c r="C7" s="80" t="s">
        <v>149</v>
      </c>
      <c r="D7" s="81"/>
      <c r="E7" s="81"/>
      <c r="F7" s="81"/>
      <c r="G7" s="81"/>
      <c r="H7" s="82"/>
      <c r="I7" s="94"/>
      <c r="J7" s="95"/>
      <c r="K7" s="80" t="s">
        <v>177</v>
      </c>
      <c r="L7" s="81"/>
      <c r="M7" s="82"/>
    </row>
    <row r="8" spans="3:13" ht="15" customHeight="1" thickBot="1" x14ac:dyDescent="0.3">
      <c r="C8" s="80" t="s">
        <v>148</v>
      </c>
      <c r="D8" s="81"/>
      <c r="E8" s="81"/>
      <c r="F8" s="81"/>
      <c r="G8" s="81"/>
      <c r="H8" s="82"/>
      <c r="I8" s="94"/>
      <c r="J8" s="95"/>
      <c r="K8" s="80"/>
      <c r="L8" s="81"/>
      <c r="M8" s="82"/>
    </row>
    <row r="9" spans="3:13" ht="15" customHeight="1" thickBot="1" x14ac:dyDescent="0.3">
      <c r="C9" s="80" t="s">
        <v>163</v>
      </c>
      <c r="D9" s="81"/>
      <c r="E9" s="81"/>
      <c r="F9" s="81"/>
      <c r="G9" s="81"/>
      <c r="H9" s="82"/>
      <c r="I9" s="94"/>
      <c r="J9" s="95"/>
      <c r="K9" s="80"/>
      <c r="L9" s="81"/>
      <c r="M9" s="82"/>
    </row>
    <row r="10" spans="3:13" ht="15" customHeight="1" thickBot="1" x14ac:dyDescent="0.3">
      <c r="C10" s="80" t="s">
        <v>164</v>
      </c>
      <c r="D10" s="81"/>
      <c r="E10" s="81"/>
      <c r="F10" s="81"/>
      <c r="G10" s="81"/>
      <c r="H10" s="82"/>
      <c r="I10" s="94"/>
      <c r="J10" s="95"/>
      <c r="K10" s="80"/>
      <c r="L10" s="81"/>
      <c r="M10" s="82"/>
    </row>
    <row r="11" spans="3:13" ht="15" customHeight="1" thickBot="1" x14ac:dyDescent="0.3">
      <c r="C11" s="80" t="s">
        <v>165</v>
      </c>
      <c r="D11" s="81"/>
      <c r="E11" s="81"/>
      <c r="F11" s="81"/>
      <c r="G11" s="81"/>
      <c r="H11" s="82"/>
      <c r="I11" s="94"/>
      <c r="J11" s="95"/>
      <c r="K11" s="80" t="s">
        <v>178</v>
      </c>
      <c r="L11" s="81"/>
      <c r="M11" s="82"/>
    </row>
    <row r="12" spans="3:13" ht="15" customHeight="1" x14ac:dyDescent="0.25"/>
    <row r="13" spans="3:13" ht="15" customHeight="1" thickBot="1" x14ac:dyDescent="0.3"/>
    <row r="14" spans="3:13" ht="15" customHeight="1" x14ac:dyDescent="0.25">
      <c r="C14" s="74" t="str">
        <f>HYPERLINK("#'4.3 Coverage'!I3", "BACK")</f>
        <v>BACK</v>
      </c>
      <c r="D14" s="91"/>
      <c r="L14" s="74" t="str">
        <f>HYPERLINK("#'5. Final Quote'!C3", "QUOTE")</f>
        <v>QUOTE</v>
      </c>
      <c r="M14" s="91"/>
    </row>
    <row r="15" spans="3:13" ht="15" customHeight="1" thickBot="1" x14ac:dyDescent="0.3">
      <c r="C15" s="92"/>
      <c r="D15" s="93"/>
      <c r="L15" s="92"/>
      <c r="M15" s="93"/>
    </row>
    <row r="16" spans="3:1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30">
    <mergeCell ref="K7:M7"/>
    <mergeCell ref="K8:M8"/>
    <mergeCell ref="K9:M9"/>
    <mergeCell ref="C10:H10"/>
    <mergeCell ref="C11:H11"/>
    <mergeCell ref="C8:H8"/>
    <mergeCell ref="C9:H9"/>
    <mergeCell ref="C2:M2"/>
    <mergeCell ref="K3:M3"/>
    <mergeCell ref="K4:M4"/>
    <mergeCell ref="K5:M5"/>
    <mergeCell ref="K6:M6"/>
    <mergeCell ref="I3:J3"/>
    <mergeCell ref="I4:J4"/>
    <mergeCell ref="L14:M15"/>
    <mergeCell ref="C3:H3"/>
    <mergeCell ref="C4:H4"/>
    <mergeCell ref="C5:H5"/>
    <mergeCell ref="C6:H6"/>
    <mergeCell ref="C7:H7"/>
    <mergeCell ref="I5:J5"/>
    <mergeCell ref="I6:J6"/>
    <mergeCell ref="I7:J7"/>
    <mergeCell ref="I8:J8"/>
    <mergeCell ref="I9:J9"/>
    <mergeCell ref="K10:M10"/>
    <mergeCell ref="K11:M11"/>
    <mergeCell ref="I10:J10"/>
    <mergeCell ref="C14:D15"/>
    <mergeCell ref="I11:J1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5FF025E-2E9F-4915-A5C5-862BA9240B87}">
          <x14:formula1>
            <xm:f>'Coverage Multiples'!$B$3:$B$8</xm:f>
          </x14:formula1>
          <xm:sqref>I3:J3</xm:sqref>
        </x14:dataValidation>
        <x14:dataValidation type="list" allowBlank="1" showInputMessage="1" showErrorMessage="1" xr:uid="{DFFB8C23-B34A-4D8B-81A8-4D5CC53CD7E8}">
          <x14:formula1>
            <xm:f>'Coverage Multiples'!$B$11:$B$15</xm:f>
          </x14:formula1>
          <xm:sqref>I4:J4</xm:sqref>
        </x14:dataValidation>
        <x14:dataValidation type="list" allowBlank="1" showInputMessage="1" showErrorMessage="1" xr:uid="{1293B517-72BD-40D4-9DDD-A076E1C33780}">
          <x14:formula1>
            <xm:f>'Coverage Multiples'!$B$25:$B$26</xm:f>
          </x14:formula1>
          <xm:sqref>I6:J6</xm:sqref>
        </x14:dataValidation>
        <x14:dataValidation type="list" allowBlank="1" showInputMessage="1" showErrorMessage="1" xr:uid="{6ECC0685-58B5-4C53-A566-6197C7E59FB4}">
          <x14:formula1>
            <xm:f>'Coverage Multiples'!$B$18:$B$22</xm:f>
          </x14:formula1>
          <xm:sqref>I5:J5</xm:sqref>
        </x14:dataValidation>
        <x14:dataValidation type="list" allowBlank="1" showInputMessage="1" showErrorMessage="1" xr:uid="{7B7B6E06-FC5D-498A-B05A-78890366EF7E}">
          <x14:formula1>
            <xm:f>'Coverage Multiples'!$I$13:$I$14</xm:f>
          </x14:formula1>
          <xm:sqref>I8:J8</xm:sqref>
        </x14:dataValidation>
        <x14:dataValidation type="list" allowBlank="1" showInputMessage="1" showErrorMessage="1" xr:uid="{EA5ECDF5-DAF8-485F-8004-122669080A5C}">
          <x14:formula1>
            <xm:f>'Coverage Multiples'!$I$3:$I$10</xm:f>
          </x14:formula1>
          <xm:sqref>I7:J7</xm:sqref>
        </x14:dataValidation>
        <x14:dataValidation type="list" allowBlank="1" showInputMessage="1" showErrorMessage="1" xr:uid="{715CB09E-363E-4168-9F6E-68216A11EBA7}">
          <x14:formula1>
            <xm:f>'Coverage Multiples'!$I$25:$I$29</xm:f>
          </x14:formula1>
          <xm:sqref>I10:J10</xm:sqref>
        </x14:dataValidation>
        <x14:dataValidation type="list" allowBlank="1" showInputMessage="1" showErrorMessage="1" xr:uid="{A0664E8B-1341-46DE-9EF3-3B4C1AA432E1}">
          <x14:formula1>
            <xm:f>'Coverage Multiples'!$I$17:$I$22</xm:f>
          </x14:formula1>
          <xm:sqref>I9:J9</xm:sqref>
        </x14:dataValidation>
        <x14:dataValidation type="list" allowBlank="1" showInputMessage="1" showErrorMessage="1" xr:uid="{934EB531-B0B5-46DA-9AAB-71BB6B7D35B6}">
          <x14:formula1>
            <xm:f>'Coverage Multiples'!$P$3:$P$5</xm:f>
          </x14:formula1>
          <xm:sqref>I11:J11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FEC5B-ACD9-43EB-AABC-257FD250E8F3}">
  <sheetPr codeName="Sheet16"/>
  <dimension ref="A1:E34"/>
  <sheetViews>
    <sheetView showGridLines="0" zoomScaleNormal="100" workbookViewId="0">
      <selection activeCell="C4" sqref="C4"/>
    </sheetView>
  </sheetViews>
  <sheetFormatPr defaultRowHeight="15" x14ac:dyDescent="0.25"/>
  <cols>
    <col min="1" max="1" width="35.7109375" style="61" customWidth="1"/>
    <col min="3" max="3" width="20" customWidth="1"/>
    <col min="4" max="5" width="17.140625" customWidth="1"/>
  </cols>
  <sheetData>
    <row r="1" spans="1:5" ht="15" customHeight="1" thickBot="1" x14ac:dyDescent="0.3"/>
    <row r="2" spans="1:5" ht="15" customHeight="1" x14ac:dyDescent="0.25">
      <c r="C2" s="74" t="s">
        <v>192</v>
      </c>
      <c r="D2" s="91"/>
    </row>
    <row r="3" spans="1:5" ht="15" customHeight="1" thickBot="1" x14ac:dyDescent="0.3">
      <c r="C3" s="92"/>
      <c r="D3" s="93"/>
    </row>
    <row r="4" spans="1:5" ht="15" customHeight="1" thickBot="1" x14ac:dyDescent="0.3"/>
    <row r="5" spans="1:5" ht="15" customHeight="1" thickBot="1" x14ac:dyDescent="0.3">
      <c r="C5" s="101" t="s">
        <v>141</v>
      </c>
      <c r="D5" s="102"/>
      <c r="E5" s="103"/>
    </row>
    <row r="6" spans="1:5" ht="15" customHeight="1" thickBot="1" x14ac:dyDescent="0.3">
      <c r="C6" s="65" t="s">
        <v>140</v>
      </c>
      <c r="D6" s="26" t="s">
        <v>142</v>
      </c>
      <c r="E6" s="45" t="s">
        <v>143</v>
      </c>
    </row>
    <row r="7" spans="1:5" ht="15" customHeight="1" x14ac:dyDescent="0.25"/>
    <row r="8" spans="1:5" ht="15" customHeight="1" x14ac:dyDescent="0.25"/>
    <row r="9" spans="1:5" ht="15" customHeight="1" x14ac:dyDescent="0.25"/>
    <row r="10" spans="1:5" ht="15" customHeight="1" x14ac:dyDescent="0.25"/>
    <row r="11" spans="1:5" ht="15" customHeight="1" x14ac:dyDescent="0.25"/>
    <row r="12" spans="1:5" ht="15" customHeight="1" thickBot="1" x14ac:dyDescent="0.3"/>
    <row r="13" spans="1:5" ht="15" customHeight="1" x14ac:dyDescent="0.25">
      <c r="C13" s="86" t="str">
        <f>IF(q.v=4, HYPERLINK("#'4.4 Coverage'!I3", "BACK"), IF(q.v=3, HYPERLINK("#'4.3 Coverage'!I3", "BACK"), IF(q.v=2, HYPERLINK("#'4.2 Coverage'!I3", "BACK"), HYPERLINK("#'4.1 Coverage'!I3", "BACK"))))</f>
        <v>BACK</v>
      </c>
      <c r="E13" s="104" t="str">
        <f>HYPERLINK("#'1. Household'!g3", "START AGAIN")</f>
        <v>START AGAIN</v>
      </c>
    </row>
    <row r="14" spans="1:5" ht="15" customHeight="1" thickBot="1" x14ac:dyDescent="0.3">
      <c r="C14" s="87"/>
      <c r="E14" s="105"/>
    </row>
    <row r="15" spans="1:5" ht="15" customHeight="1" x14ac:dyDescent="0.25">
      <c r="A15" s="62"/>
    </row>
    <row r="16" spans="1:5" ht="15" customHeight="1" x14ac:dyDescent="0.25">
      <c r="A16" s="62"/>
    </row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4">
    <mergeCell ref="E13:E14"/>
    <mergeCell ref="C13:C14"/>
    <mergeCell ref="C2:D3"/>
    <mergeCell ref="C5:E5"/>
  </mergeCells>
  <hyperlinks>
    <hyperlink ref="C2:D3" location="'5. Final Quote'!C2" display="GENERATE QUOTE" xr:uid="{AD711FC0-3FB3-4243-8641-5FC61E890AB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3" name="Button 4">
              <controlPr defaultSize="0" print="0" autoFill="0" autoPict="0" macro="[0]!StartAgain">
                <anchor moveWithCells="1" sizeWithCells="1">
                  <from>
                    <xdr:col>3</xdr:col>
                    <xdr:colOff>1133475</xdr:colOff>
                    <xdr:row>11</xdr:row>
                    <xdr:rowOff>180975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70E72-BEE0-42A4-AC80-654A76551629}">
  <sheetPr codeName="Sheet17"/>
  <dimension ref="B1:U48"/>
  <sheetViews>
    <sheetView topLeftCell="A27" workbookViewId="0">
      <selection activeCell="G8" sqref="G8"/>
    </sheetView>
  </sheetViews>
  <sheetFormatPr defaultRowHeight="15" x14ac:dyDescent="0.25"/>
  <cols>
    <col min="2" max="2" width="24.7109375" style="46" bestFit="1" customWidth="1"/>
    <col min="3" max="8" width="11.42578125" customWidth="1"/>
    <col min="9" max="9" width="11.42578125" style="46" customWidth="1"/>
    <col min="10" max="21" width="11.42578125" customWidth="1"/>
  </cols>
  <sheetData>
    <row r="1" spans="2:21" ht="15.75" thickBot="1" x14ac:dyDescent="0.3"/>
    <row r="2" spans="2:21" ht="15.75" thickBot="1" x14ac:dyDescent="0.3">
      <c r="B2" s="9" t="s">
        <v>156</v>
      </c>
      <c r="C2" s="9" t="s">
        <v>119</v>
      </c>
      <c r="D2" s="9" t="s">
        <v>187</v>
      </c>
      <c r="E2" s="9" t="s">
        <v>188</v>
      </c>
      <c r="F2" s="9" t="s">
        <v>189</v>
      </c>
      <c r="G2" s="9" t="s">
        <v>190</v>
      </c>
      <c r="I2" s="9" t="s">
        <v>162</v>
      </c>
      <c r="J2" s="9" t="s">
        <v>119</v>
      </c>
      <c r="K2" s="9" t="s">
        <v>187</v>
      </c>
      <c r="L2" s="9" t="s">
        <v>188</v>
      </c>
      <c r="M2" s="9" t="s">
        <v>189</v>
      </c>
      <c r="N2" s="9" t="s">
        <v>190</v>
      </c>
      <c r="P2" s="9" t="s">
        <v>170</v>
      </c>
      <c r="Q2" s="9" t="s">
        <v>119</v>
      </c>
      <c r="R2" s="9" t="s">
        <v>187</v>
      </c>
      <c r="S2" s="9" t="s">
        <v>188</v>
      </c>
      <c r="T2" s="9" t="s">
        <v>189</v>
      </c>
      <c r="U2" s="9" t="s">
        <v>190</v>
      </c>
    </row>
    <row r="3" spans="2:21" x14ac:dyDescent="0.25">
      <c r="B3" s="47" t="s">
        <v>150</v>
      </c>
      <c r="C3" s="48">
        <v>8.5000000000000006E-2</v>
      </c>
      <c r="D3" s="49" t="e">
        <f>$C3*Calculations!$C$6</f>
        <v>#N/A</v>
      </c>
      <c r="E3" s="49" t="e">
        <f>$C3*Calculations!$C$18</f>
        <v>#N/A</v>
      </c>
      <c r="F3" s="49" t="e">
        <f>$C3*Calculations!$C$30</f>
        <v>#N/A</v>
      </c>
      <c r="G3" s="49" t="e">
        <f>$C3*Calculations!$C$42</f>
        <v>#N/A</v>
      </c>
      <c r="I3" s="47">
        <v>0</v>
      </c>
      <c r="J3" s="48">
        <v>0</v>
      </c>
      <c r="K3" s="49" t="e">
        <f>$J3*Calculations!$C$6</f>
        <v>#N/A</v>
      </c>
      <c r="L3" s="49" t="e">
        <f>$J3*Calculations!$C$18</f>
        <v>#N/A</v>
      </c>
      <c r="M3" s="49" t="e">
        <f>$J3*Calculations!$C$30</f>
        <v>#N/A</v>
      </c>
      <c r="N3" s="49" t="e">
        <f>$J3*Calculations!$C$42</f>
        <v>#N/A</v>
      </c>
      <c r="P3" s="48" t="s">
        <v>171</v>
      </c>
      <c r="Q3" s="48">
        <v>70</v>
      </c>
      <c r="R3" s="49" t="e">
        <f>IF(Calculations!$C$4&lt;=23, $Q3*0.89, $Q3*1.11)</f>
        <v>#N/A</v>
      </c>
      <c r="S3" s="49" t="e">
        <f>IF(Calculations!$C$16&lt;=23, $Q3*0.89, $Q3*1.11)</f>
        <v>#N/A</v>
      </c>
      <c r="T3" s="49" t="e">
        <f>IF(Calculations!$C$28&lt;=23, $Q3*0.89, $Q3*1.11)</f>
        <v>#N/A</v>
      </c>
      <c r="U3" s="49" t="e">
        <f>IF(Calculations!$C$40&lt;=23, $Q3*0.89, $Q3*1.11)</f>
        <v>#N/A</v>
      </c>
    </row>
    <row r="4" spans="2:21" x14ac:dyDescent="0.25">
      <c r="B4" s="50" t="s">
        <v>151</v>
      </c>
      <c r="C4" s="51">
        <v>0.09</v>
      </c>
      <c r="D4" s="52" t="e">
        <f>$C4*Calculations!$C$6</f>
        <v>#N/A</v>
      </c>
      <c r="E4" s="52" t="e">
        <f>$C4*Calculations!$C$18</f>
        <v>#N/A</v>
      </c>
      <c r="F4" s="52" t="e">
        <f>$C4*Calculations!$C$30</f>
        <v>#N/A</v>
      </c>
      <c r="G4" s="52" t="e">
        <f>$C4*Calculations!$C$42</f>
        <v>#N/A</v>
      </c>
      <c r="I4" s="56">
        <v>1000</v>
      </c>
      <c r="J4" s="51">
        <v>0.02</v>
      </c>
      <c r="K4" s="52" t="e">
        <f>$J4*Calculations!$C$6</f>
        <v>#N/A</v>
      </c>
      <c r="L4" s="52" t="e">
        <f>$J4*Calculations!$C$18</f>
        <v>#N/A</v>
      </c>
      <c r="M4" s="52" t="e">
        <f>$J4*Calculations!$C$30</f>
        <v>#N/A</v>
      </c>
      <c r="N4" s="52" t="e">
        <f>$J4*Calculations!$C$42</f>
        <v>#N/A</v>
      </c>
      <c r="P4" s="51" t="s">
        <v>172</v>
      </c>
      <c r="Q4" s="51">
        <v>100</v>
      </c>
      <c r="R4" s="52" t="e">
        <f>IF(Calculations!$C$4&lt;=23, $Q4*0.89, $Q4*1.11)</f>
        <v>#N/A</v>
      </c>
      <c r="S4" s="52" t="e">
        <f>IF(Calculations!$C$16&lt;=23, $Q4*0.89, $Q4*1.11)</f>
        <v>#N/A</v>
      </c>
      <c r="T4" s="52" t="e">
        <f>IF(Calculations!$C$28&lt;=23, $Q4*0.89, $Q4*1.11)</f>
        <v>#N/A</v>
      </c>
      <c r="U4" s="52" t="e">
        <f>IF(Calculations!$C$40&lt;=23, $Q4*0.89, $Q4*1.11)</f>
        <v>#N/A</v>
      </c>
    </row>
    <row r="5" spans="2:21" ht="15.75" thickBot="1" x14ac:dyDescent="0.3">
      <c r="B5" s="50" t="s">
        <v>152</v>
      </c>
      <c r="C5" s="51">
        <v>0.1</v>
      </c>
      <c r="D5" s="52" t="e">
        <f>$C5*Calculations!$C$6</f>
        <v>#N/A</v>
      </c>
      <c r="E5" s="52" t="e">
        <f>$C5*Calculations!$C$18</f>
        <v>#N/A</v>
      </c>
      <c r="F5" s="52" t="e">
        <f>$C5*Calculations!$C$30</f>
        <v>#N/A</v>
      </c>
      <c r="G5" s="52" t="e">
        <f>$C5*Calculations!$C$42</f>
        <v>#N/A</v>
      </c>
      <c r="I5" s="56">
        <v>2500</v>
      </c>
      <c r="J5" s="51">
        <v>0.05</v>
      </c>
      <c r="K5" s="52" t="e">
        <f>$J5*Calculations!$C$6</f>
        <v>#N/A</v>
      </c>
      <c r="L5" s="52" t="e">
        <f>$J5*Calculations!$C$18</f>
        <v>#N/A</v>
      </c>
      <c r="M5" s="52" t="e">
        <f>$J5*Calculations!$C$30</f>
        <v>#N/A</v>
      </c>
      <c r="N5" s="52" t="e">
        <f>$J5*Calculations!$C$42</f>
        <v>#N/A</v>
      </c>
      <c r="P5" s="54" t="s">
        <v>173</v>
      </c>
      <c r="Q5" s="54">
        <v>150</v>
      </c>
      <c r="R5" s="55" t="e">
        <f>IF(Calculations!$C$4&lt;=23, $Q5*0.89, $Q5*1.11)</f>
        <v>#N/A</v>
      </c>
      <c r="S5" s="55" t="e">
        <f>IF(Calculations!$C$16&lt;=23, $Q5*0.89, $Q5*1.11)</f>
        <v>#N/A</v>
      </c>
      <c r="T5" s="55" t="e">
        <f>IF(Calculations!$C$28&lt;=23, $Q5*0.89, $Q5*1.11)</f>
        <v>#N/A</v>
      </c>
      <c r="U5" s="55" t="e">
        <f>IF(Calculations!$C$40&lt;=23, $Q5*0.89, $Q5*1.11)</f>
        <v>#N/A</v>
      </c>
    </row>
    <row r="6" spans="2:21" x14ac:dyDescent="0.25">
      <c r="B6" s="50" t="s">
        <v>153</v>
      </c>
      <c r="C6" s="51">
        <v>0.12</v>
      </c>
      <c r="D6" s="52" t="e">
        <f>$C6*Calculations!$C$6</f>
        <v>#N/A</v>
      </c>
      <c r="E6" s="52" t="e">
        <f>$C6*Calculations!$C$18</f>
        <v>#N/A</v>
      </c>
      <c r="F6" s="52" t="e">
        <f>$C6*Calculations!$C$30</f>
        <v>#N/A</v>
      </c>
      <c r="G6" s="52" t="e">
        <f>$C6*Calculations!$C$42</f>
        <v>#N/A</v>
      </c>
      <c r="I6" s="56">
        <v>5000</v>
      </c>
      <c r="J6" s="51">
        <v>0.1</v>
      </c>
      <c r="K6" s="52" t="e">
        <f>$J6*Calculations!$C$6</f>
        <v>#N/A</v>
      </c>
      <c r="L6" s="52" t="e">
        <f>$J6*Calculations!$C$18</f>
        <v>#N/A</v>
      </c>
      <c r="M6" s="52" t="e">
        <f>$J6*Calculations!$C$30</f>
        <v>#N/A</v>
      </c>
      <c r="N6" s="52" t="e">
        <f>$J6*Calculations!$C$42</f>
        <v>#N/A</v>
      </c>
    </row>
    <row r="7" spans="2:21" x14ac:dyDescent="0.25">
      <c r="B7" s="50" t="s">
        <v>154</v>
      </c>
      <c r="C7" s="51">
        <v>0.15</v>
      </c>
      <c r="D7" s="52" t="e">
        <f>$C7*Calculations!$C$6</f>
        <v>#N/A</v>
      </c>
      <c r="E7" s="52" t="e">
        <f>$C7*Calculations!$C$18</f>
        <v>#N/A</v>
      </c>
      <c r="F7" s="52" t="e">
        <f>$C7*Calculations!$C$30</f>
        <v>#N/A</v>
      </c>
      <c r="G7" s="52" t="e">
        <f>$C7*Calculations!$C$42</f>
        <v>#N/A</v>
      </c>
      <c r="I7" s="56">
        <v>10000</v>
      </c>
      <c r="J7" s="51">
        <v>0.2</v>
      </c>
      <c r="K7" s="52" t="e">
        <f>$J7*Calculations!$C$6</f>
        <v>#N/A</v>
      </c>
      <c r="L7" s="52" t="e">
        <f>$J7*Calculations!$C$18</f>
        <v>#N/A</v>
      </c>
      <c r="M7" s="52" t="e">
        <f>$J7*Calculations!$C$30</f>
        <v>#N/A</v>
      </c>
      <c r="N7" s="52" t="e">
        <f>$J7*Calculations!$C$42</f>
        <v>#N/A</v>
      </c>
    </row>
    <row r="8" spans="2:21" ht="15.75" thickBot="1" x14ac:dyDescent="0.3">
      <c r="B8" s="53" t="s">
        <v>155</v>
      </c>
      <c r="C8" s="54">
        <v>0.25</v>
      </c>
      <c r="D8" s="55" t="e">
        <f>$C8*Calculations!$C$6</f>
        <v>#N/A</v>
      </c>
      <c r="E8" s="55" t="e">
        <f>$C8*Calculations!$C$18</f>
        <v>#N/A</v>
      </c>
      <c r="F8" s="55" t="e">
        <f>$C8*Calculations!$C$30</f>
        <v>#N/A</v>
      </c>
      <c r="G8" s="55" t="e">
        <f>$C8*Calculations!$C$42</f>
        <v>#N/A</v>
      </c>
      <c r="I8" s="56">
        <v>25000</v>
      </c>
      <c r="J8" s="51">
        <v>0.5</v>
      </c>
      <c r="K8" s="52" t="e">
        <f>$J8*Calculations!$C$6</f>
        <v>#N/A</v>
      </c>
      <c r="L8" s="52" t="e">
        <f>$J8*Calculations!$C$18</f>
        <v>#N/A</v>
      </c>
      <c r="M8" s="52" t="e">
        <f>$J8*Calculations!$C$30</f>
        <v>#N/A</v>
      </c>
      <c r="N8" s="52" t="e">
        <f>$J8*Calculations!$C$42</f>
        <v>#N/A</v>
      </c>
    </row>
    <row r="9" spans="2:21" ht="15.75" thickBot="1" x14ac:dyDescent="0.3">
      <c r="I9" s="56">
        <v>50000</v>
      </c>
      <c r="J9" s="51">
        <v>1</v>
      </c>
      <c r="K9" s="52" t="e">
        <f>$J9*Calculations!$C$6</f>
        <v>#N/A</v>
      </c>
      <c r="L9" s="52" t="e">
        <f>$J9*Calculations!$C$18</f>
        <v>#N/A</v>
      </c>
      <c r="M9" s="52" t="e">
        <f>$J9*Calculations!$C$30</f>
        <v>#N/A</v>
      </c>
      <c r="N9" s="52" t="e">
        <f>$J9*Calculations!$C$42</f>
        <v>#N/A</v>
      </c>
    </row>
    <row r="10" spans="2:21" ht="15.75" thickBot="1" x14ac:dyDescent="0.3">
      <c r="B10" s="9" t="s">
        <v>157</v>
      </c>
      <c r="C10" s="9" t="s">
        <v>119</v>
      </c>
      <c r="D10" s="9" t="s">
        <v>187</v>
      </c>
      <c r="E10" s="9" t="s">
        <v>188</v>
      </c>
      <c r="F10" s="9" t="s">
        <v>189</v>
      </c>
      <c r="G10" s="9" t="s">
        <v>190</v>
      </c>
      <c r="I10" s="57">
        <v>100000</v>
      </c>
      <c r="J10" s="54">
        <v>2</v>
      </c>
      <c r="K10" s="55" t="e">
        <f>$J10*Calculations!$C$6</f>
        <v>#N/A</v>
      </c>
      <c r="L10" s="55" t="e">
        <f>$J10*Calculations!$C$18</f>
        <v>#N/A</v>
      </c>
      <c r="M10" s="55" t="e">
        <f>$J10*Calculations!$C$30</f>
        <v>#N/A</v>
      </c>
      <c r="N10" s="55" t="e">
        <f>$J10*Calculations!$C$42</f>
        <v>#N/A</v>
      </c>
    </row>
    <row r="11" spans="2:21" ht="15.75" thickBot="1" x14ac:dyDescent="0.3">
      <c r="B11" s="47">
        <v>15</v>
      </c>
      <c r="C11" s="48">
        <v>1.2E-2</v>
      </c>
      <c r="D11" s="49" t="e">
        <f>$C11*Calculations!$C$6</f>
        <v>#N/A</v>
      </c>
      <c r="E11" s="49" t="e">
        <f>$C11*Calculations!$C$18</f>
        <v>#N/A</v>
      </c>
      <c r="F11" s="49" t="e">
        <f>$C11*Calculations!$C$30</f>
        <v>#N/A</v>
      </c>
      <c r="G11" s="49" t="e">
        <f>$C11*Calculations!$C$42</f>
        <v>#N/A</v>
      </c>
    </row>
    <row r="12" spans="2:21" ht="15.75" thickBot="1" x14ac:dyDescent="0.3">
      <c r="B12" s="50">
        <v>25</v>
      </c>
      <c r="C12" s="51">
        <v>1.2999999999999999E-2</v>
      </c>
      <c r="D12" s="52" t="e">
        <f>$C12*Calculations!$C$6</f>
        <v>#N/A</v>
      </c>
      <c r="E12" s="52" t="e">
        <f>$C12*Calculations!$C$18</f>
        <v>#N/A</v>
      </c>
      <c r="F12" s="52" t="e">
        <f>$C12*Calculations!$C$30</f>
        <v>#N/A</v>
      </c>
      <c r="G12" s="52" t="e">
        <f>$C12*Calculations!$C$42</f>
        <v>#N/A</v>
      </c>
      <c r="I12" s="9" t="s">
        <v>168</v>
      </c>
      <c r="J12" s="9" t="s">
        <v>119</v>
      </c>
      <c r="K12" s="9" t="s">
        <v>187</v>
      </c>
      <c r="L12" s="9" t="s">
        <v>188</v>
      </c>
      <c r="M12" s="9" t="s">
        <v>189</v>
      </c>
      <c r="N12" s="9" t="s">
        <v>190</v>
      </c>
    </row>
    <row r="13" spans="2:21" ht="15" customHeight="1" x14ac:dyDescent="0.25">
      <c r="B13" s="50">
        <v>50</v>
      </c>
      <c r="C13" s="51">
        <v>1.4999999999999999E-2</v>
      </c>
      <c r="D13" s="52" t="e">
        <f>$C13*Calculations!$C$6</f>
        <v>#N/A</v>
      </c>
      <c r="E13" s="52" t="e">
        <f>$C13*Calculations!$C$18</f>
        <v>#N/A</v>
      </c>
      <c r="F13" s="52" t="e">
        <f>$C13*Calculations!$C$30</f>
        <v>#N/A</v>
      </c>
      <c r="G13" s="52" t="e">
        <f>$C13*Calculations!$C$42</f>
        <v>#N/A</v>
      </c>
      <c r="I13" s="47" t="s">
        <v>161</v>
      </c>
      <c r="J13" s="48">
        <v>2.5</v>
      </c>
      <c r="K13" s="49" t="e">
        <f>IF(Calculations!$C$4&lt;=23, $J13, $J13*1.2)</f>
        <v>#N/A</v>
      </c>
      <c r="L13" s="49" t="e">
        <f>IF(Calculations!$C$16&lt;=23, $J13, $J13*1.2)</f>
        <v>#N/A</v>
      </c>
      <c r="M13" s="49" t="e">
        <f>IF(Calculations!$C$28&lt;=23, $J13, $J13*1.2)</f>
        <v>#N/A</v>
      </c>
      <c r="N13" s="49" t="e">
        <f>IF(Calculations!$C$40&lt;=23, $J13, $J13*1.2)</f>
        <v>#N/A</v>
      </c>
    </row>
    <row r="14" spans="2:21" ht="15.75" thickBot="1" x14ac:dyDescent="0.3">
      <c r="B14" s="50">
        <v>100</v>
      </c>
      <c r="C14" s="51">
        <v>0.02</v>
      </c>
      <c r="D14" s="52" t="e">
        <f>$C14*Calculations!$C$6</f>
        <v>#N/A</v>
      </c>
      <c r="E14" s="52" t="e">
        <f>$C14*Calculations!$C$18</f>
        <v>#N/A</v>
      </c>
      <c r="F14" s="52" t="e">
        <f>$C14*Calculations!$C$30</f>
        <v>#N/A</v>
      </c>
      <c r="G14" s="52" t="e">
        <f>$C14*Calculations!$C$42</f>
        <v>#N/A</v>
      </c>
      <c r="I14" s="53" t="s">
        <v>169</v>
      </c>
      <c r="J14" s="54">
        <v>0</v>
      </c>
      <c r="K14" s="55">
        <f>$J$14</f>
        <v>0</v>
      </c>
      <c r="L14" s="55">
        <f t="shared" ref="L14:N14" si="0">$J$14</f>
        <v>0</v>
      </c>
      <c r="M14" s="55">
        <f t="shared" si="0"/>
        <v>0</v>
      </c>
      <c r="N14" s="55">
        <f t="shared" si="0"/>
        <v>0</v>
      </c>
    </row>
    <row r="15" spans="2:21" ht="15.75" thickBot="1" x14ac:dyDescent="0.3">
      <c r="B15" s="53">
        <v>250</v>
      </c>
      <c r="C15" s="54">
        <v>0.25</v>
      </c>
      <c r="D15" s="55" t="e">
        <f>$C15*Calculations!$C$6</f>
        <v>#N/A</v>
      </c>
      <c r="E15" s="55" t="e">
        <f>$C15*Calculations!$C$18</f>
        <v>#N/A</v>
      </c>
      <c r="F15" s="55" t="e">
        <f>$C15*Calculations!$C$30</f>
        <v>#N/A</v>
      </c>
      <c r="G15" s="55" t="e">
        <f>$C15*Calculations!$C$42</f>
        <v>#N/A</v>
      </c>
    </row>
    <row r="16" spans="2:21" ht="15.75" thickBot="1" x14ac:dyDescent="0.3">
      <c r="I16" s="9" t="s">
        <v>166</v>
      </c>
      <c r="J16" s="9" t="s">
        <v>119</v>
      </c>
      <c r="K16" s="9" t="s">
        <v>187</v>
      </c>
      <c r="L16" s="9" t="s">
        <v>188</v>
      </c>
      <c r="M16" s="9" t="s">
        <v>189</v>
      </c>
      <c r="N16" s="9" t="s">
        <v>190</v>
      </c>
    </row>
    <row r="17" spans="2:14" ht="15.75" thickBot="1" x14ac:dyDescent="0.3">
      <c r="B17" s="9" t="s">
        <v>158</v>
      </c>
      <c r="C17" s="9" t="s">
        <v>119</v>
      </c>
      <c r="D17" s="9" t="s">
        <v>187</v>
      </c>
      <c r="E17" s="9" t="s">
        <v>188</v>
      </c>
      <c r="F17" s="9" t="s">
        <v>189</v>
      </c>
      <c r="G17" s="9" t="s">
        <v>190</v>
      </c>
      <c r="I17" s="47">
        <v>0</v>
      </c>
      <c r="J17" s="48">
        <v>0.1</v>
      </c>
      <c r="K17" s="49" t="e">
        <f>$J17*Calculations!$C$6</f>
        <v>#N/A</v>
      </c>
      <c r="L17" s="49" t="e">
        <f>$J17*Calculations!$C$18</f>
        <v>#N/A</v>
      </c>
      <c r="M17" s="49" t="e">
        <f>$J17*Calculations!$C$30</f>
        <v>#N/A</v>
      </c>
      <c r="N17" s="49" t="e">
        <f>$J17*Calculations!$C$42</f>
        <v>#N/A</v>
      </c>
    </row>
    <row r="18" spans="2:14" x14ac:dyDescent="0.25">
      <c r="B18" s="47" t="s">
        <v>150</v>
      </c>
      <c r="C18" s="48">
        <v>8.5000000000000006E-3</v>
      </c>
      <c r="D18" s="49" t="e">
        <f>$C18*Calculations!$C$6</f>
        <v>#N/A</v>
      </c>
      <c r="E18" s="49" t="e">
        <f>$C18*Calculations!$C$18</f>
        <v>#N/A</v>
      </c>
      <c r="F18" s="49" t="e">
        <f>$C18*Calculations!$C$30</f>
        <v>#N/A</v>
      </c>
      <c r="G18" s="49" t="e">
        <f>$C18*Calculations!$C$42</f>
        <v>#N/A</v>
      </c>
      <c r="I18" s="50">
        <v>100</v>
      </c>
      <c r="J18" s="51">
        <v>0.08</v>
      </c>
      <c r="K18" s="52" t="e">
        <f>$J18*Calculations!$C$6</f>
        <v>#N/A</v>
      </c>
      <c r="L18" s="52" t="e">
        <f>$J18*Calculations!$C$18</f>
        <v>#N/A</v>
      </c>
      <c r="M18" s="52" t="e">
        <f>$J18*Calculations!$C$30</f>
        <v>#N/A</v>
      </c>
      <c r="N18" s="52" t="e">
        <f>$J18*Calculations!$C$42</f>
        <v>#N/A</v>
      </c>
    </row>
    <row r="19" spans="2:14" x14ac:dyDescent="0.25">
      <c r="B19" s="50" t="s">
        <v>151</v>
      </c>
      <c r="C19" s="51">
        <v>8.9999999999999993E-3</v>
      </c>
      <c r="D19" s="52" t="e">
        <f>$C19*Calculations!$C$6</f>
        <v>#N/A</v>
      </c>
      <c r="E19" s="52" t="e">
        <f>$C19*Calculations!$C$18</f>
        <v>#N/A</v>
      </c>
      <c r="F19" s="52" t="e">
        <f>$C19*Calculations!$C$30</f>
        <v>#N/A</v>
      </c>
      <c r="G19" s="52" t="e">
        <f>$C19*Calculations!$C$42</f>
        <v>#N/A</v>
      </c>
      <c r="I19" s="50">
        <v>250</v>
      </c>
      <c r="J19" s="51">
        <v>6.8000000000000005E-2</v>
      </c>
      <c r="K19" s="52" t="e">
        <f>$J19*Calculations!$C$6</f>
        <v>#N/A</v>
      </c>
      <c r="L19" s="52" t="e">
        <f>$J19*Calculations!$C$18</f>
        <v>#N/A</v>
      </c>
      <c r="M19" s="52" t="e">
        <f>$J19*Calculations!$C$30</f>
        <v>#N/A</v>
      </c>
      <c r="N19" s="52" t="e">
        <f>$J19*Calculations!$C$42</f>
        <v>#N/A</v>
      </c>
    </row>
    <row r="20" spans="2:14" x14ac:dyDescent="0.25">
      <c r="B20" s="50" t="s">
        <v>152</v>
      </c>
      <c r="C20" s="51">
        <v>0.01</v>
      </c>
      <c r="D20" s="52" t="e">
        <f>$C20*Calculations!$C$6</f>
        <v>#N/A</v>
      </c>
      <c r="E20" s="52" t="e">
        <f>$C20*Calculations!$C$18</f>
        <v>#N/A</v>
      </c>
      <c r="F20" s="52" t="e">
        <f>$C20*Calculations!$C$30</f>
        <v>#N/A</v>
      </c>
      <c r="G20" s="52" t="e">
        <f>$C20*Calculations!$C$42</f>
        <v>#N/A</v>
      </c>
      <c r="I20" s="50">
        <v>500</v>
      </c>
      <c r="J20" s="51">
        <v>5.8000000000000003E-2</v>
      </c>
      <c r="K20" s="52" t="e">
        <f>$J20*Calculations!$C$6</f>
        <v>#N/A</v>
      </c>
      <c r="L20" s="52" t="e">
        <f>$J20*Calculations!$C$18</f>
        <v>#N/A</v>
      </c>
      <c r="M20" s="52" t="e">
        <f>$J20*Calculations!$C$30</f>
        <v>#N/A</v>
      </c>
      <c r="N20" s="52" t="e">
        <f>$J20*Calculations!$C$42</f>
        <v>#N/A</v>
      </c>
    </row>
    <row r="21" spans="2:14" x14ac:dyDescent="0.25">
      <c r="B21" s="50" t="s">
        <v>153</v>
      </c>
      <c r="C21" s="51">
        <v>1.2E-2</v>
      </c>
      <c r="D21" s="52" t="e">
        <f>$C21*Calculations!$C$6</f>
        <v>#N/A</v>
      </c>
      <c r="E21" s="52" t="e">
        <f>$C21*Calculations!$C$18</f>
        <v>#N/A</v>
      </c>
      <c r="F21" s="52" t="e">
        <f>$C21*Calculations!$C$30</f>
        <v>#N/A</v>
      </c>
      <c r="G21" s="52" t="e">
        <f>$C21*Calculations!$C$42</f>
        <v>#N/A</v>
      </c>
      <c r="I21" s="56">
        <v>1000</v>
      </c>
      <c r="J21" s="51">
        <v>0.05</v>
      </c>
      <c r="K21" s="52" t="e">
        <f>$J21*Calculations!$C$6</f>
        <v>#N/A</v>
      </c>
      <c r="L21" s="52" t="e">
        <f>$J21*Calculations!$C$18</f>
        <v>#N/A</v>
      </c>
      <c r="M21" s="52" t="e">
        <f>$J21*Calculations!$C$30</f>
        <v>#N/A</v>
      </c>
      <c r="N21" s="52" t="e">
        <f>$J21*Calculations!$C$42</f>
        <v>#N/A</v>
      </c>
    </row>
    <row r="22" spans="2:14" ht="15.75" thickBot="1" x14ac:dyDescent="0.3">
      <c r="B22" s="53" t="s">
        <v>160</v>
      </c>
      <c r="C22" s="54">
        <v>0</v>
      </c>
      <c r="D22" s="55" t="e">
        <f>$C22*Calculations!$C$6</f>
        <v>#N/A</v>
      </c>
      <c r="E22" s="55" t="e">
        <f>$C22*Calculations!$C$18</f>
        <v>#N/A</v>
      </c>
      <c r="F22" s="55" t="e">
        <f>$C22*Calculations!$C$30</f>
        <v>#N/A</v>
      </c>
      <c r="G22" s="55" t="e">
        <f>$C22*Calculations!$C$42</f>
        <v>#N/A</v>
      </c>
      <c r="I22" s="57">
        <v>2000</v>
      </c>
      <c r="J22" s="54">
        <v>4.4999999999999998E-2</v>
      </c>
      <c r="K22" s="55" t="e">
        <f>$J22*Calculations!$C$6</f>
        <v>#N/A</v>
      </c>
      <c r="L22" s="55" t="e">
        <f>$J22*Calculations!$C$18</f>
        <v>#N/A</v>
      </c>
      <c r="M22" s="55" t="e">
        <f>$J22*Calculations!$C$30</f>
        <v>#N/A</v>
      </c>
      <c r="N22" s="55" t="e">
        <f>$J22*Calculations!$C$42</f>
        <v>#N/A</v>
      </c>
    </row>
    <row r="23" spans="2:14" ht="15.75" thickBot="1" x14ac:dyDescent="0.3"/>
    <row r="24" spans="2:14" ht="15.75" thickBot="1" x14ac:dyDescent="0.3">
      <c r="B24" s="9" t="s">
        <v>159</v>
      </c>
      <c r="C24" s="9" t="s">
        <v>119</v>
      </c>
      <c r="D24" s="9" t="s">
        <v>187</v>
      </c>
      <c r="E24" s="9" t="s">
        <v>188</v>
      </c>
      <c r="F24" s="9" t="s">
        <v>189</v>
      </c>
      <c r="G24" s="9" t="s">
        <v>190</v>
      </c>
      <c r="I24" s="9" t="s">
        <v>167</v>
      </c>
      <c r="J24" s="9" t="s">
        <v>119</v>
      </c>
      <c r="K24" s="9" t="s">
        <v>187</v>
      </c>
      <c r="L24" s="9" t="s">
        <v>188</v>
      </c>
      <c r="M24" s="9" t="s">
        <v>189</v>
      </c>
      <c r="N24" s="9" t="s">
        <v>190</v>
      </c>
    </row>
    <row r="25" spans="2:14" x14ac:dyDescent="0.25">
      <c r="B25" s="47" t="s">
        <v>161</v>
      </c>
      <c r="C25" s="60" t="s">
        <v>191</v>
      </c>
      <c r="D25" s="49" t="e">
        <f>(_xlfn.XLOOKUP('4.1 Coverage'!$I$4, 'Coverage Multiples'!$B$11:$B$15, 'Coverage Multiples'!D$11:D$15))/1.5</f>
        <v>#N/A</v>
      </c>
      <c r="E25" s="49" t="e">
        <f>(_xlfn.XLOOKUP('4.2 Coverage'!$I$4, 'Coverage Multiples'!$B$11:$B$15, 'Coverage Multiples'!E$11:E$15))/1.5</f>
        <v>#N/A</v>
      </c>
      <c r="F25" s="49" t="e">
        <f>(_xlfn.XLOOKUP('4.3 Coverage'!$I$4, 'Coverage Multiples'!$B$11:$B$15, 'Coverage Multiples'!F$11:F$15))/1.5</f>
        <v>#N/A</v>
      </c>
      <c r="G25" s="49" t="e">
        <f>(_xlfn.XLOOKUP('4.4 Coverage'!$I$4, 'Coverage Multiples'!$B$11:$B$15, 'Coverage Multiples'!G$11:G$15))/1.5</f>
        <v>#N/A</v>
      </c>
      <c r="I25" s="47">
        <v>100</v>
      </c>
      <c r="J25" s="48">
        <v>0.4</v>
      </c>
      <c r="K25" s="49" t="e">
        <f>$J25*Calculations!$C$6</f>
        <v>#N/A</v>
      </c>
      <c r="L25" s="49" t="e">
        <f>$J25*Calculations!$C$18</f>
        <v>#N/A</v>
      </c>
      <c r="M25" s="49" t="e">
        <f>$J25*Calculations!$C$30</f>
        <v>#N/A</v>
      </c>
      <c r="N25" s="49" t="e">
        <f>$J25*Calculations!$C$42</f>
        <v>#N/A</v>
      </c>
    </row>
    <row r="26" spans="2:14" ht="15.75" thickBot="1" x14ac:dyDescent="0.3">
      <c r="B26" s="53" t="s">
        <v>160</v>
      </c>
      <c r="C26" s="54">
        <v>0</v>
      </c>
      <c r="D26" s="55" t="e">
        <f>$C26*Calculations!$C$6</f>
        <v>#N/A</v>
      </c>
      <c r="E26" s="55" t="e">
        <f>$C26*Calculations!$C$18</f>
        <v>#N/A</v>
      </c>
      <c r="F26" s="55" t="e">
        <f>$C26*Calculations!$C$30</f>
        <v>#N/A</v>
      </c>
      <c r="G26" s="55" t="e">
        <f>$C26*Calculations!$C$42</f>
        <v>#N/A</v>
      </c>
      <c r="I26" s="50">
        <v>250</v>
      </c>
      <c r="J26" s="51">
        <v>0.34</v>
      </c>
      <c r="K26" s="52" t="e">
        <f>$J26*Calculations!$C$6</f>
        <v>#N/A</v>
      </c>
      <c r="L26" s="52" t="e">
        <f>$J26*Calculations!$C$18</f>
        <v>#N/A</v>
      </c>
      <c r="M26" s="52" t="e">
        <f>$J26*Calculations!$C$30</f>
        <v>#N/A</v>
      </c>
      <c r="N26" s="52" t="e">
        <f>$J26*Calculations!$C$42</f>
        <v>#N/A</v>
      </c>
    </row>
    <row r="27" spans="2:14" x14ac:dyDescent="0.25">
      <c r="I27" s="50">
        <v>500</v>
      </c>
      <c r="J27" s="51">
        <v>0.28999999999999998</v>
      </c>
      <c r="K27" s="52" t="e">
        <f>$J27*Calculations!$C$6</f>
        <v>#N/A</v>
      </c>
      <c r="L27" s="52" t="e">
        <f>$J27*Calculations!$C$18</f>
        <v>#N/A</v>
      </c>
      <c r="M27" s="52" t="e">
        <f>$J27*Calculations!$C$30</f>
        <v>#N/A</v>
      </c>
      <c r="N27" s="52" t="e">
        <f>$J27*Calculations!$C$42</f>
        <v>#N/A</v>
      </c>
    </row>
    <row r="28" spans="2:14" x14ac:dyDescent="0.25">
      <c r="I28" s="56">
        <v>1000</v>
      </c>
      <c r="J28" s="51">
        <v>0.25</v>
      </c>
      <c r="K28" s="52" t="e">
        <f>$J28*Calculations!$C$6</f>
        <v>#N/A</v>
      </c>
      <c r="L28" s="52" t="e">
        <f>$J28*Calculations!$C$18</f>
        <v>#N/A</v>
      </c>
      <c r="M28" s="52" t="e">
        <f>$J28*Calculations!$C$30</f>
        <v>#N/A</v>
      </c>
      <c r="N28" s="52" t="e">
        <f>$J28*Calculations!$C$42</f>
        <v>#N/A</v>
      </c>
    </row>
    <row r="29" spans="2:14" ht="15.75" thickBot="1" x14ac:dyDescent="0.3">
      <c r="I29" s="57">
        <v>2000</v>
      </c>
      <c r="J29" s="54">
        <v>0.22500000000000001</v>
      </c>
      <c r="K29" s="55" t="e">
        <f>$J29*Calculations!$C$6</f>
        <v>#N/A</v>
      </c>
      <c r="L29" s="55" t="e">
        <f>$J29*Calculations!$C$18</f>
        <v>#N/A</v>
      </c>
      <c r="M29" s="55" t="e">
        <f>$J29*Calculations!$C$30</f>
        <v>#N/A</v>
      </c>
      <c r="N29" s="55" t="e">
        <f>$J29*Calculations!$C$42</f>
        <v>#N/A</v>
      </c>
    </row>
    <row r="36" spans="2:13" x14ac:dyDescent="0.25">
      <c r="C36" s="46"/>
      <c r="D36" s="46"/>
      <c r="E36" s="46"/>
      <c r="F36" s="46"/>
      <c r="G36" t="s">
        <v>18</v>
      </c>
      <c r="H36" t="s">
        <v>66</v>
      </c>
      <c r="I36" t="s">
        <v>67</v>
      </c>
      <c r="J36" t="s">
        <v>68</v>
      </c>
      <c r="M36" s="46"/>
    </row>
    <row r="37" spans="2:13" x14ac:dyDescent="0.25">
      <c r="B37" s="46" t="s">
        <v>184</v>
      </c>
      <c r="C37" s="46"/>
      <c r="D37" s="46"/>
      <c r="E37" s="46"/>
      <c r="F37" s="46"/>
      <c r="G37" t="s">
        <v>56</v>
      </c>
      <c r="H37" t="s">
        <v>56</v>
      </c>
      <c r="I37" t="s">
        <v>56</v>
      </c>
      <c r="J37" t="s">
        <v>56</v>
      </c>
      <c r="M37" s="46"/>
    </row>
    <row r="38" spans="2:13" x14ac:dyDescent="0.25">
      <c r="B38" s="46" t="s">
        <v>156</v>
      </c>
      <c r="C38" s="46" cm="1">
        <f t="array" ref="C38:C46">'4.1 Coverage'!$I$3:$I$11</f>
        <v>0</v>
      </c>
      <c r="D38" s="46" cm="1">
        <f t="array" ref="D38:D46">'4.2 Coverage'!$I$3:$I$11</f>
        <v>0</v>
      </c>
      <c r="E38" s="46" cm="1">
        <f t="array" ref="E38:E46">'4.3 Coverage'!$I$3:$I$11</f>
        <v>0</v>
      </c>
      <c r="F38" s="46" cm="1">
        <f t="array" ref="F38:F46">'4.4 Coverage'!$I$3:$I$11</f>
        <v>0</v>
      </c>
      <c r="G38" s="40" t="e">
        <f>_xlfn.XLOOKUP(C38, $B$3:$B$8, D$3:D$8)</f>
        <v>#N/A</v>
      </c>
      <c r="H38" s="40" t="e">
        <f>_xlfn.XLOOKUP($C38, $B$3:$B$8, E$3:E$8)</f>
        <v>#N/A</v>
      </c>
      <c r="I38" s="40" t="e">
        <f>_xlfn.XLOOKUP($C38, $B$3:$B$8, F$3:F$8)</f>
        <v>#N/A</v>
      </c>
      <c r="J38" s="40" t="e">
        <f>_xlfn.XLOOKUP($C38, $B$3:$B$8, G$3:G$8)</f>
        <v>#N/A</v>
      </c>
      <c r="M38" s="46"/>
    </row>
    <row r="39" spans="2:13" x14ac:dyDescent="0.25">
      <c r="B39" s="46" t="s">
        <v>157</v>
      </c>
      <c r="C39" s="46">
        <v>0</v>
      </c>
      <c r="D39" s="46">
        <v>0</v>
      </c>
      <c r="E39" s="46">
        <v>0</v>
      </c>
      <c r="F39" s="46">
        <v>0</v>
      </c>
      <c r="G39" s="40" t="e">
        <f>_xlfn.XLOOKUP(C39, $B$11:$B$15, D$11:D$15)</f>
        <v>#N/A</v>
      </c>
      <c r="H39" s="40" t="e">
        <f t="shared" ref="H39:J39" si="1">_xlfn.XLOOKUP(D39, $B$11:$B$15, E$11:E$15)</f>
        <v>#N/A</v>
      </c>
      <c r="I39" s="40" t="e">
        <f t="shared" si="1"/>
        <v>#N/A</v>
      </c>
      <c r="J39" s="40" t="e">
        <f t="shared" si="1"/>
        <v>#N/A</v>
      </c>
      <c r="M39" s="46"/>
    </row>
    <row r="40" spans="2:13" x14ac:dyDescent="0.25">
      <c r="B40" s="46" t="s">
        <v>158</v>
      </c>
      <c r="C40" s="46">
        <v>0</v>
      </c>
      <c r="D40" s="46">
        <v>0</v>
      </c>
      <c r="E40" s="46">
        <v>0</v>
      </c>
      <c r="F40" s="46">
        <v>0</v>
      </c>
      <c r="G40" s="40" t="e">
        <f>_xlfn.XLOOKUP(C40, $B$18:$B$22, D$18:D$22)</f>
        <v>#N/A</v>
      </c>
      <c r="H40" s="40" t="e">
        <f t="shared" ref="H40:J40" si="2">_xlfn.XLOOKUP(D40, $B$18:$B$22, E$18:E$22)</f>
        <v>#N/A</v>
      </c>
      <c r="I40" s="40" t="e">
        <f t="shared" si="2"/>
        <v>#N/A</v>
      </c>
      <c r="J40" s="40" t="e">
        <f t="shared" si="2"/>
        <v>#N/A</v>
      </c>
      <c r="M40" s="46"/>
    </row>
    <row r="41" spans="2:13" x14ac:dyDescent="0.25">
      <c r="B41" s="46" t="s">
        <v>159</v>
      </c>
      <c r="C41" s="46">
        <v>0</v>
      </c>
      <c r="D41" s="46">
        <v>0</v>
      </c>
      <c r="E41" s="46">
        <v>0</v>
      </c>
      <c r="F41" s="46">
        <v>0</v>
      </c>
      <c r="G41" s="40" t="e">
        <f>_xlfn.XLOOKUP(C41, $B$25:$B$26, D$25:D$26)</f>
        <v>#N/A</v>
      </c>
      <c r="H41" s="40" t="e">
        <f t="shared" ref="H41:J41" si="3">_xlfn.XLOOKUP(D41, $B$25:$B$26, E$25:E$26)</f>
        <v>#N/A</v>
      </c>
      <c r="I41" s="40" t="e">
        <f t="shared" si="3"/>
        <v>#N/A</v>
      </c>
      <c r="J41" s="40" t="e">
        <f t="shared" si="3"/>
        <v>#N/A</v>
      </c>
      <c r="M41" s="46"/>
    </row>
    <row r="42" spans="2:13" x14ac:dyDescent="0.25">
      <c r="B42" s="46" t="s">
        <v>162</v>
      </c>
      <c r="C42" s="46">
        <v>0</v>
      </c>
      <c r="D42" s="46">
        <v>0</v>
      </c>
      <c r="E42" s="46">
        <v>0</v>
      </c>
      <c r="F42" s="46">
        <v>0</v>
      </c>
      <c r="G42" s="40" t="e">
        <f>_xlfn.XLOOKUP(C42, $I$3:$I$10, K$3:K$10)</f>
        <v>#N/A</v>
      </c>
      <c r="H42" s="40" t="e">
        <f t="shared" ref="H42:J42" si="4">_xlfn.XLOOKUP(D42, $I$3:$I$10, L$3:L$10)</f>
        <v>#N/A</v>
      </c>
      <c r="I42" s="40" t="e">
        <f t="shared" si="4"/>
        <v>#N/A</v>
      </c>
      <c r="J42" s="40" t="e">
        <f t="shared" si="4"/>
        <v>#N/A</v>
      </c>
      <c r="M42" s="46"/>
    </row>
    <row r="43" spans="2:13" x14ac:dyDescent="0.25">
      <c r="B43" s="46" t="s">
        <v>168</v>
      </c>
      <c r="C43" s="46">
        <v>0</v>
      </c>
      <c r="D43" s="46">
        <v>0</v>
      </c>
      <c r="E43" s="46">
        <v>0</v>
      </c>
      <c r="F43" s="46">
        <v>0</v>
      </c>
      <c r="G43" s="40" t="e">
        <f>_xlfn.XLOOKUP(C43, $I$13:$I$14, K$13:K$14)</f>
        <v>#N/A</v>
      </c>
      <c r="H43" s="40" t="e">
        <f t="shared" ref="H43:J43" si="5">_xlfn.XLOOKUP(D43, $I$13:$I$14, L$13:L$14)</f>
        <v>#N/A</v>
      </c>
      <c r="I43" s="40" t="e">
        <f t="shared" si="5"/>
        <v>#N/A</v>
      </c>
      <c r="J43" s="40" t="e">
        <f t="shared" si="5"/>
        <v>#N/A</v>
      </c>
      <c r="M43" s="46"/>
    </row>
    <row r="44" spans="2:13" x14ac:dyDescent="0.25">
      <c r="B44" s="46" t="s">
        <v>166</v>
      </c>
      <c r="C44" s="46">
        <v>0</v>
      </c>
      <c r="D44" s="46">
        <v>0</v>
      </c>
      <c r="E44" s="46">
        <v>0</v>
      </c>
      <c r="F44" s="46">
        <v>0</v>
      </c>
      <c r="G44" s="40" t="e">
        <f>_xlfn.XLOOKUP(C44, $I$17:$I$22, K$17:K$22)</f>
        <v>#N/A</v>
      </c>
      <c r="H44" s="40" t="e">
        <f t="shared" ref="H44:J44" si="6">_xlfn.XLOOKUP(D44, $I$17:$I$22, L$17:L$22)</f>
        <v>#N/A</v>
      </c>
      <c r="I44" s="40" t="e">
        <f t="shared" si="6"/>
        <v>#N/A</v>
      </c>
      <c r="J44" s="40" t="e">
        <f t="shared" si="6"/>
        <v>#N/A</v>
      </c>
      <c r="M44" s="46"/>
    </row>
    <row r="45" spans="2:13" x14ac:dyDescent="0.25">
      <c r="B45" s="46" t="s">
        <v>167</v>
      </c>
      <c r="C45" s="46">
        <v>0</v>
      </c>
      <c r="D45" s="46">
        <v>0</v>
      </c>
      <c r="E45" s="46">
        <v>0</v>
      </c>
      <c r="F45" s="46">
        <v>0</v>
      </c>
      <c r="G45" s="40" t="e">
        <f>_xlfn.XLOOKUP(C45, $I$25:$I$29, K$25:K$29)</f>
        <v>#N/A</v>
      </c>
      <c r="H45" s="40" t="e">
        <f t="shared" ref="H45:J45" si="7">_xlfn.XLOOKUP(D45, $I$25:$I$29, L$25:L$29)</f>
        <v>#N/A</v>
      </c>
      <c r="I45" s="40" t="e">
        <f t="shared" si="7"/>
        <v>#N/A</v>
      </c>
      <c r="J45" s="40" t="e">
        <f t="shared" si="7"/>
        <v>#N/A</v>
      </c>
      <c r="M45" s="46"/>
    </row>
    <row r="46" spans="2:13" x14ac:dyDescent="0.25">
      <c r="B46" s="46" t="s">
        <v>170</v>
      </c>
      <c r="C46" s="46">
        <v>0</v>
      </c>
      <c r="D46" s="46">
        <v>0</v>
      </c>
      <c r="E46" s="46">
        <v>0</v>
      </c>
      <c r="F46" s="46">
        <v>0</v>
      </c>
      <c r="G46" s="40" t="e">
        <f>_xlfn.XLOOKUP(C46, $P$3:$P$5, R$3:R$5)</f>
        <v>#N/A</v>
      </c>
      <c r="H46" s="40" t="e">
        <f t="shared" ref="H46:J46" si="8">_xlfn.XLOOKUP(D46, $P$3:$P$5, S$3:S$5)</f>
        <v>#N/A</v>
      </c>
      <c r="I46" s="40" t="e">
        <f t="shared" si="8"/>
        <v>#N/A</v>
      </c>
      <c r="J46" s="40" t="e">
        <f t="shared" si="8"/>
        <v>#N/A</v>
      </c>
      <c r="M46" s="46"/>
    </row>
    <row r="47" spans="2:13" x14ac:dyDescent="0.25">
      <c r="B47" s="46" t="s">
        <v>186</v>
      </c>
      <c r="C47" s="46"/>
      <c r="D47" s="46"/>
      <c r="E47" s="46"/>
      <c r="F47" s="46"/>
      <c r="G47" s="40" t="e">
        <f>SUM(G38:G46)</f>
        <v>#N/A</v>
      </c>
      <c r="H47" s="40" t="e">
        <f t="shared" ref="H47:J47" si="9">SUM(H38:H46)</f>
        <v>#N/A</v>
      </c>
      <c r="I47" s="40" t="e">
        <f t="shared" si="9"/>
        <v>#N/A</v>
      </c>
      <c r="J47" s="40" t="e">
        <f t="shared" si="9"/>
        <v>#N/A</v>
      </c>
      <c r="M47" s="46"/>
    </row>
    <row r="48" spans="2:13" x14ac:dyDescent="0.25">
      <c r="B48" s="46" t="s">
        <v>185</v>
      </c>
      <c r="C48" s="46"/>
      <c r="D48" s="46"/>
      <c r="E48" s="46"/>
      <c r="F48" s="46"/>
      <c r="G48" s="40" t="e">
        <f>G47/6</f>
        <v>#N/A</v>
      </c>
      <c r="H48" s="40" t="e">
        <f t="shared" ref="H48:J48" si="10">H47/6</f>
        <v>#N/A</v>
      </c>
      <c r="I48" s="40" t="e">
        <f t="shared" si="10"/>
        <v>#N/A</v>
      </c>
      <c r="J48" s="40" t="e">
        <f t="shared" si="10"/>
        <v>#N/A</v>
      </c>
      <c r="M48" s="46"/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855B-8E22-486E-88EC-44392620A9D3}">
  <sheetPr codeName="Sheet18"/>
  <dimension ref="B1:Q48"/>
  <sheetViews>
    <sheetView workbookViewId="0">
      <selection activeCell="G8" sqref="G8"/>
    </sheetView>
  </sheetViews>
  <sheetFormatPr defaultRowHeight="15" x14ac:dyDescent="0.25"/>
  <cols>
    <col min="3" max="3" width="11.5703125" bestFit="1" customWidth="1"/>
    <col min="11" max="11" width="19.42578125" bestFit="1" customWidth="1"/>
    <col min="12" max="12" width="15.85546875" bestFit="1" customWidth="1"/>
    <col min="13" max="13" width="16.5703125" bestFit="1" customWidth="1"/>
    <col min="15" max="15" width="19.42578125" bestFit="1" customWidth="1"/>
    <col min="16" max="16" width="15.85546875" bestFit="1" customWidth="1"/>
    <col min="17" max="17" width="16.5703125" bestFit="1" customWidth="1"/>
  </cols>
  <sheetData>
    <row r="1" spans="2:17" ht="15.75" thickBot="1" x14ac:dyDescent="0.3"/>
    <row r="2" spans="2:17" ht="15.75" thickBot="1" x14ac:dyDescent="0.3">
      <c r="B2" t="s">
        <v>18</v>
      </c>
      <c r="K2" s="101" t="s">
        <v>141</v>
      </c>
      <c r="L2" s="102"/>
      <c r="M2" s="103"/>
      <c r="O2" s="101"/>
      <c r="P2" s="102"/>
      <c r="Q2" s="103"/>
    </row>
    <row r="3" spans="2:17" ht="15.75" thickBot="1" x14ac:dyDescent="0.3">
      <c r="B3" t="s">
        <v>107</v>
      </c>
      <c r="C3" s="22" t="e">
        <f>_xlfn.XLOOKUP('3.1 Vehicle'!$F$9, DRG!$B$45:$B$48, DRG!$G$45:$G$48)</f>
        <v>#N/A</v>
      </c>
      <c r="K3" s="44" t="s">
        <v>140</v>
      </c>
      <c r="L3" s="26" t="s">
        <v>142</v>
      </c>
      <c r="M3" s="45" t="s">
        <v>143</v>
      </c>
      <c r="O3" s="44"/>
      <c r="P3" s="26"/>
      <c r="Q3" s="45"/>
    </row>
    <row r="4" spans="2:17" ht="15.75" thickBot="1" x14ac:dyDescent="0.3">
      <c r="B4" t="s">
        <v>29</v>
      </c>
      <c r="C4" t="e">
        <f>_xlfn.XLOOKUP(D4, 'Vehicles &amp; GRG'!B3:B332, 'Vehicles &amp; GRG'!H3:H332)</f>
        <v>#N/A</v>
      </c>
      <c r="D4" t="str">
        <f>_xlfn.CONCAT(E4:H4)</f>
        <v/>
      </c>
      <c r="E4" t="str">
        <f>RIGHT('3.1 Vehicle'!$F$3, 2)</f>
        <v/>
      </c>
      <c r="F4" t="str">
        <f>LEFT('3.1 Vehicle'!$F$4, 1)</f>
        <v/>
      </c>
      <c r="G4" t="str">
        <f>LEFT('3.1 Vehicle'!$F$5, 1)</f>
        <v/>
      </c>
      <c r="H4" t="str">
        <f>LEFT('3.1 Vehicle'!$F$6, 2)</f>
        <v/>
      </c>
      <c r="K4" s="113" t="str">
        <f>IF('1. Household'!$H$4&gt;=1,_xlfn.TEXTJOIN(" ",TRUE,'3.1 Vehicle'!$F$3:$H$5),"")</f>
        <v/>
      </c>
      <c r="L4" s="114" t="str">
        <f>IF('1. Household'!$H$4&gt;=1, $C$12,"")</f>
        <v/>
      </c>
      <c r="M4" s="115" t="e">
        <f>L4/6</f>
        <v>#VALUE!</v>
      </c>
      <c r="O4" s="113"/>
      <c r="P4" s="114"/>
      <c r="Q4" s="115"/>
    </row>
    <row r="5" spans="2:17" ht="15.75" thickBot="1" x14ac:dyDescent="0.3">
      <c r="B5" t="s">
        <v>139</v>
      </c>
      <c r="C5" s="21" t="e">
        <f>_xlfn.XLOOKUP(ROUNDDOWN('3.1 Vehicle'!F8,  -3), Mileage!B3:B27, Mileage!C3:C27)</f>
        <v>#N/A</v>
      </c>
      <c r="D5" s="24"/>
      <c r="E5" s="24"/>
      <c r="F5" s="24"/>
    </row>
    <row r="6" spans="2:17" ht="15.75" thickBot="1" x14ac:dyDescent="0.3">
      <c r="B6" t="s">
        <v>183</v>
      </c>
      <c r="C6" s="40" t="e">
        <f>PRODUCT(C3:C5)*6</f>
        <v>#N/A</v>
      </c>
      <c r="D6" s="24"/>
      <c r="E6" s="24"/>
      <c r="F6" s="24"/>
      <c r="K6" s="101" t="s">
        <v>141</v>
      </c>
      <c r="L6" s="102"/>
      <c r="M6" s="103"/>
      <c r="O6" s="101"/>
      <c r="P6" s="102"/>
      <c r="Q6" s="103"/>
    </row>
    <row r="7" spans="2:17" ht="15.75" thickBot="1" x14ac:dyDescent="0.3">
      <c r="B7" t="s">
        <v>108</v>
      </c>
      <c r="C7" s="23" t="e">
        <f ca="1">1-SUM(D7:F7)</f>
        <v>#N/A</v>
      </c>
      <c r="D7" s="24">
        <f>MCD</f>
        <v>0</v>
      </c>
      <c r="E7" s="24">
        <f ca="1">LD</f>
        <v>0</v>
      </c>
      <c r="F7" s="24" t="e">
        <f>_xlfn.XLOOKUP('3.1 Vehicle'!$F$9, 'Driver Discounts'!$E$6:$E$9, 'Driver Discounts'!$F$6:$F$9)</f>
        <v>#N/A</v>
      </c>
      <c r="K7" s="44" t="s">
        <v>140</v>
      </c>
      <c r="L7" s="26" t="s">
        <v>142</v>
      </c>
      <c r="M7" s="110" t="s">
        <v>143</v>
      </c>
      <c r="O7" s="44"/>
      <c r="P7" s="26"/>
      <c r="Q7" s="110"/>
    </row>
    <row r="8" spans="2:17" x14ac:dyDescent="0.25">
      <c r="C8" s="58" t="e">
        <f>'Coverage Multiples'!$G$47</f>
        <v>#N/A</v>
      </c>
      <c r="D8" s="46"/>
      <c r="E8" s="46"/>
      <c r="F8" s="46"/>
      <c r="G8" s="46"/>
      <c r="H8" s="46"/>
      <c r="K8" s="42" t="str">
        <f>IF('1. Household'!$H$4&gt;=1,_xlfn.TEXTJOIN(" ",TRUE,'3.1 Vehicle'!$F$3:$H$5),"")</f>
        <v/>
      </c>
      <c r="L8" s="116" t="str">
        <f>IF('1. Household'!$H$4&gt;=1, $C$12,"")</f>
        <v/>
      </c>
      <c r="M8" s="118" t="e">
        <f>L8/6</f>
        <v>#VALUE!</v>
      </c>
      <c r="O8" s="42"/>
      <c r="P8" s="116"/>
      <c r="Q8" s="118"/>
    </row>
    <row r="9" spans="2:17" ht="15.75" thickBot="1" x14ac:dyDescent="0.3">
      <c r="D9" s="46" t="s">
        <v>156</v>
      </c>
      <c r="E9" s="59" t="e">
        <f>'Coverage Multiples'!G38</f>
        <v>#N/A</v>
      </c>
      <c r="F9" s="46" t="s">
        <v>159</v>
      </c>
      <c r="G9" s="59" t="e">
        <f>'Coverage Multiples'!G41</f>
        <v>#N/A</v>
      </c>
      <c r="H9" s="46" t="s">
        <v>166</v>
      </c>
      <c r="I9" s="58" t="e">
        <f>'Coverage Multiples'!G44</f>
        <v>#N/A</v>
      </c>
      <c r="K9" s="113" t="str">
        <f>IF('1. Household'!$H$4&gt;=2,_xlfn.TEXTJOIN(" ",TRUE,'3.2 Vehicle'!$F$3:$H$5),"")</f>
        <v/>
      </c>
      <c r="L9" s="120" t="str">
        <f>IF('1. Household'!$H$4&gt;=2, $C$24,"")</f>
        <v/>
      </c>
      <c r="M9" s="41" t="e">
        <f>L9/6</f>
        <v>#VALUE!</v>
      </c>
      <c r="O9" s="113"/>
      <c r="P9" s="120"/>
      <c r="Q9" s="41"/>
    </row>
    <row r="10" spans="2:17" ht="15.75" thickBot="1" x14ac:dyDescent="0.3">
      <c r="D10" s="46" t="s">
        <v>157</v>
      </c>
      <c r="E10" s="59" t="e">
        <f>'Coverage Multiples'!G39</f>
        <v>#N/A</v>
      </c>
      <c r="F10" s="46" t="s">
        <v>162</v>
      </c>
      <c r="G10" s="59" t="e">
        <f>'Coverage Multiples'!G42</f>
        <v>#N/A</v>
      </c>
      <c r="H10" s="46" t="s">
        <v>167</v>
      </c>
      <c r="I10" s="58" t="e">
        <f>'Coverage Multiples'!G45</f>
        <v>#N/A</v>
      </c>
    </row>
    <row r="11" spans="2:17" ht="15.75" thickBot="1" x14ac:dyDescent="0.3">
      <c r="D11" s="46" t="s">
        <v>158</v>
      </c>
      <c r="E11" s="59" t="e">
        <f>'Coverage Multiples'!G40</f>
        <v>#N/A</v>
      </c>
      <c r="F11" s="46" t="s">
        <v>168</v>
      </c>
      <c r="G11" s="59" t="e">
        <f>'Coverage Multiples'!G43</f>
        <v>#N/A</v>
      </c>
      <c r="H11" s="46" t="s">
        <v>170</v>
      </c>
      <c r="I11" s="58" t="e">
        <f>'Coverage Multiples'!G46</f>
        <v>#N/A</v>
      </c>
      <c r="K11" s="101" t="s">
        <v>141</v>
      </c>
      <c r="L11" s="102"/>
      <c r="M11" s="103"/>
      <c r="O11" s="101"/>
      <c r="P11" s="102"/>
      <c r="Q11" s="103"/>
    </row>
    <row r="12" spans="2:17" ht="15.75" thickBot="1" x14ac:dyDescent="0.3">
      <c r="B12" t="s">
        <v>56</v>
      </c>
      <c r="C12" s="58" t="e">
        <f ca="1">(C6+C8)*C7</f>
        <v>#N/A</v>
      </c>
      <c r="K12" s="44" t="s">
        <v>140</v>
      </c>
      <c r="L12" s="26" t="s">
        <v>142</v>
      </c>
      <c r="M12" s="110" t="s">
        <v>143</v>
      </c>
      <c r="O12" s="44"/>
      <c r="P12" s="26"/>
      <c r="Q12" s="110"/>
    </row>
    <row r="13" spans="2:17" x14ac:dyDescent="0.25">
      <c r="K13" s="42" t="str">
        <f>IF('1. Household'!$H$4&gt;=1,_xlfn.TEXTJOIN(" ",TRUE,'3.1 Vehicle'!$F$3:$H$5),"")</f>
        <v/>
      </c>
      <c r="L13" s="116" t="str">
        <f>IF('1. Household'!$H$4&gt;=1, $C$12,"")</f>
        <v/>
      </c>
      <c r="M13" s="118" t="e">
        <f t="shared" ref="M13:M15" si="0">L13/6</f>
        <v>#VALUE!</v>
      </c>
      <c r="O13" s="42"/>
      <c r="P13" s="116"/>
      <c r="Q13" s="118"/>
    </row>
    <row r="14" spans="2:17" x14ac:dyDescent="0.25">
      <c r="B14" t="s">
        <v>66</v>
      </c>
      <c r="K14" s="42" t="str">
        <f>IF('1. Household'!$H$4&gt;=2,_xlfn.TEXTJOIN(" ",TRUE,'3.2 Vehicle'!$F$3:$H$5),"")</f>
        <v/>
      </c>
      <c r="L14" s="116" t="str">
        <f>IF('1. Household'!$H$4&gt;=2, $C$24,"")</f>
        <v/>
      </c>
      <c r="M14" s="119" t="e">
        <f t="shared" si="0"/>
        <v>#VALUE!</v>
      </c>
      <c r="O14" s="42"/>
      <c r="P14" s="116"/>
      <c r="Q14" s="119"/>
    </row>
    <row r="15" spans="2:17" ht="15.75" thickBot="1" x14ac:dyDescent="0.3">
      <c r="B15" t="s">
        <v>107</v>
      </c>
      <c r="C15" s="22" t="e">
        <f>_xlfn.XLOOKUP('3.2 Vehicle'!$F$9, DRG!$B$45:$B$48, DRG!$G$45:$G$48)</f>
        <v>#N/A</v>
      </c>
      <c r="K15" s="113" t="str">
        <f>IF('1. Household'!$H$4&gt;=3,_xlfn.TEXTJOIN(" ",TRUE,'3.3 Vehicle'!$F$3:$H$5),"")</f>
        <v/>
      </c>
      <c r="L15" s="120" t="str">
        <f>IF('1. Household'!$H$4&gt;=3, $C$36,"")</f>
        <v/>
      </c>
      <c r="M15" s="41" t="e">
        <f t="shared" si="0"/>
        <v>#VALUE!</v>
      </c>
      <c r="O15" s="113"/>
      <c r="P15" s="120"/>
      <c r="Q15" s="41"/>
    </row>
    <row r="16" spans="2:17" ht="15.75" thickBot="1" x14ac:dyDescent="0.3">
      <c r="B16" t="s">
        <v>29</v>
      </c>
      <c r="C16" t="e">
        <f>_xlfn.XLOOKUP(D16, 'Vehicles &amp; GRG'!B8:B337, 'Vehicles &amp; GRG'!H8:H337)</f>
        <v>#N/A</v>
      </c>
      <c r="D16" t="str">
        <f>_xlfn.CONCAT(E16:H16)</f>
        <v/>
      </c>
      <c r="E16" t="str">
        <f>RIGHT('3.2 Vehicle'!$F$3, 2)</f>
        <v/>
      </c>
      <c r="F16" t="str">
        <f>LEFT('3.2 Vehicle'!$F$4, 1)</f>
        <v/>
      </c>
      <c r="G16" t="str">
        <f>LEFT('3.2 Vehicle'!$F$5, 1)</f>
        <v/>
      </c>
      <c r="H16" t="str">
        <f>LEFT('3.2 Vehicle'!$F$6, 2)</f>
        <v/>
      </c>
      <c r="L16" s="111"/>
      <c r="M16" s="112"/>
      <c r="P16" s="111"/>
      <c r="Q16" s="112"/>
    </row>
    <row r="17" spans="2:17" ht="15.75" thickBot="1" x14ac:dyDescent="0.3">
      <c r="B17" t="s">
        <v>139</v>
      </c>
      <c r="C17" s="21" t="e">
        <f>_xlfn.XLOOKUP(ROUNDDOWN('3.2 Vehicle'!F8,  -3), Mileage!B3:B27, Mileage!C3:C27)</f>
        <v>#N/A</v>
      </c>
      <c r="D17" s="24"/>
      <c r="E17" s="24"/>
      <c r="F17" s="24"/>
      <c r="K17" s="101" t="s">
        <v>141</v>
      </c>
      <c r="L17" s="102"/>
      <c r="M17" s="103"/>
      <c r="O17" s="101"/>
      <c r="P17" s="102"/>
      <c r="Q17" s="103"/>
    </row>
    <row r="18" spans="2:17" ht="15.75" thickBot="1" x14ac:dyDescent="0.3">
      <c r="B18" t="s">
        <v>183</v>
      </c>
      <c r="C18" s="40" t="e">
        <f>PRODUCT(C15:C17)*6</f>
        <v>#N/A</v>
      </c>
      <c r="D18" s="24"/>
      <c r="E18" s="24"/>
      <c r="F18" s="24"/>
      <c r="K18" s="44" t="s">
        <v>140</v>
      </c>
      <c r="L18" s="26" t="s">
        <v>142</v>
      </c>
      <c r="M18" s="110" t="s">
        <v>143</v>
      </c>
      <c r="O18" s="44"/>
      <c r="P18" s="26"/>
      <c r="Q18" s="110"/>
    </row>
    <row r="19" spans="2:17" x14ac:dyDescent="0.25">
      <c r="B19" t="s">
        <v>108</v>
      </c>
      <c r="C19" s="23" t="e">
        <f ca="1">1-SUM(D19:F19)</f>
        <v>#N/A</v>
      </c>
      <c r="D19" s="24">
        <f>MCD</f>
        <v>0</v>
      </c>
      <c r="E19" s="24">
        <f ca="1">LD</f>
        <v>0</v>
      </c>
      <c r="F19" s="24" t="e">
        <f>_xlfn.XLOOKUP('3.2 Vehicle'!$F$9, 'Driver Discounts'!$E$6:$E$9, 'Driver Discounts'!$F$6:$F$9)</f>
        <v>#N/A</v>
      </c>
      <c r="K19" s="42" t="str">
        <f>IF('1. Household'!$H$4&gt;=1,_xlfn.TEXTJOIN(" ",TRUE,'3.1 Vehicle'!$F$3:$H$5),"")</f>
        <v/>
      </c>
      <c r="L19" s="116" t="str">
        <f>IF('1. Household'!$H$4&gt;=1, $C$12,"")</f>
        <v/>
      </c>
      <c r="M19" s="118" t="e">
        <f t="shared" ref="M19:M22" si="1">L19/6</f>
        <v>#VALUE!</v>
      </c>
      <c r="O19" s="42"/>
      <c r="P19" s="116"/>
      <c r="Q19" s="118"/>
    </row>
    <row r="20" spans="2:17" x14ac:dyDescent="0.25">
      <c r="C20" s="58" t="e">
        <f>'Coverage Multiples'!$H$47</f>
        <v>#N/A</v>
      </c>
      <c r="K20" s="42" t="str">
        <f>IF('1. Household'!$H$4&gt;=2,_xlfn.TEXTJOIN(" ",TRUE,'3.2 Vehicle'!$F$3:$H$5),"")</f>
        <v/>
      </c>
      <c r="L20" s="116" t="str">
        <f>IF('1. Household'!$H$4&gt;=2, $C$24,"")</f>
        <v/>
      </c>
      <c r="M20" s="119" t="e">
        <f t="shared" si="1"/>
        <v>#VALUE!</v>
      </c>
      <c r="O20" s="42"/>
      <c r="P20" s="116"/>
      <c r="Q20" s="119"/>
    </row>
    <row r="21" spans="2:17" x14ac:dyDescent="0.25">
      <c r="C21" s="58"/>
      <c r="D21" s="46" t="s">
        <v>156</v>
      </c>
      <c r="E21" s="59" t="e">
        <f>'Coverage Multiples'!H38</f>
        <v>#N/A</v>
      </c>
      <c r="F21" s="46" t="s">
        <v>159</v>
      </c>
      <c r="G21" s="59" t="e">
        <f>'Coverage Multiples'!H41</f>
        <v>#N/A</v>
      </c>
      <c r="H21" s="46" t="s">
        <v>166</v>
      </c>
      <c r="I21" s="58" t="e">
        <f>'Coverage Multiples'!H44</f>
        <v>#N/A</v>
      </c>
      <c r="K21" s="42" t="str">
        <f>IF('1. Household'!$H$4&gt;=3,_xlfn.TEXTJOIN(" ",TRUE,'3.3 Vehicle'!$F$3:$H$5),"")</f>
        <v/>
      </c>
      <c r="L21" s="116" t="str">
        <f>IF('1. Household'!$H$4&gt;=3, $C$36,"")</f>
        <v/>
      </c>
      <c r="M21" s="119" t="e">
        <f t="shared" si="1"/>
        <v>#VALUE!</v>
      </c>
      <c r="O21" s="42"/>
      <c r="P21" s="116"/>
      <c r="Q21" s="119"/>
    </row>
    <row r="22" spans="2:17" ht="15" customHeight="1" thickBot="1" x14ac:dyDescent="0.3">
      <c r="C22" s="58"/>
      <c r="D22" s="46" t="s">
        <v>157</v>
      </c>
      <c r="E22" s="59" t="e">
        <f>'Coverage Multiples'!H39</f>
        <v>#N/A</v>
      </c>
      <c r="F22" s="46" t="s">
        <v>162</v>
      </c>
      <c r="G22" s="59" t="e">
        <f>'Coverage Multiples'!H42</f>
        <v>#N/A</v>
      </c>
      <c r="H22" s="46" t="s">
        <v>167</v>
      </c>
      <c r="I22" s="58" t="e">
        <f>'Coverage Multiples'!H45</f>
        <v>#N/A</v>
      </c>
      <c r="K22" s="43" t="str">
        <f>IF('1. Household'!$H$4&gt;=4,_xlfn.TEXTJOIN(" ",TRUE,'3.4 Vehicle'!$F$3:$H$5),"")</f>
        <v/>
      </c>
      <c r="L22" s="117" t="str">
        <f>IF('1. Household'!$H$4&gt;=4, $C$48,"")</f>
        <v/>
      </c>
      <c r="M22" s="41" t="e">
        <f t="shared" si="1"/>
        <v>#VALUE!</v>
      </c>
      <c r="N22" s="112"/>
      <c r="O22" s="43"/>
      <c r="P22" s="117"/>
      <c r="Q22" s="41"/>
    </row>
    <row r="23" spans="2:17" x14ac:dyDescent="0.25">
      <c r="C23" s="58"/>
      <c r="D23" s="46" t="s">
        <v>158</v>
      </c>
      <c r="E23" s="59" t="e">
        <f>'Coverage Multiples'!H40</f>
        <v>#N/A</v>
      </c>
      <c r="F23" s="46" t="s">
        <v>168</v>
      </c>
      <c r="G23" s="59" t="e">
        <f>'Coverage Multiples'!H43</f>
        <v>#N/A</v>
      </c>
      <c r="H23" s="46" t="s">
        <v>170</v>
      </c>
      <c r="I23" s="58" t="e">
        <f>'Coverage Multiples'!H46</f>
        <v>#N/A</v>
      </c>
      <c r="L23" s="112"/>
      <c r="M23" s="112"/>
      <c r="N23" s="112"/>
      <c r="P23" s="112"/>
      <c r="Q23" s="112"/>
    </row>
    <row r="24" spans="2:17" x14ac:dyDescent="0.25">
      <c r="B24" t="s">
        <v>56</v>
      </c>
      <c r="C24" s="58" t="e">
        <f ca="1">(C18+C20)*C19</f>
        <v>#N/A</v>
      </c>
      <c r="N24" s="112"/>
    </row>
    <row r="25" spans="2:17" x14ac:dyDescent="0.25">
      <c r="N25" s="112"/>
    </row>
    <row r="26" spans="2:17" x14ac:dyDescent="0.25">
      <c r="B26" t="s">
        <v>67</v>
      </c>
      <c r="N26" s="112"/>
    </row>
    <row r="27" spans="2:17" x14ac:dyDescent="0.25">
      <c r="B27" t="s">
        <v>107</v>
      </c>
      <c r="C27" s="22" t="e">
        <f>_xlfn.XLOOKUP('3.3 Vehicle'!$F$9, DRG!$B$45:$B$48, DRG!$G$45:$G$48)</f>
        <v>#N/A</v>
      </c>
      <c r="N27" s="112"/>
    </row>
    <row r="28" spans="2:17" x14ac:dyDescent="0.25">
      <c r="B28" t="s">
        <v>29</v>
      </c>
      <c r="C28" t="e">
        <f>_xlfn.XLOOKUP(D28, 'Vehicles &amp; GRG'!B13:B342, 'Vehicles &amp; GRG'!H13:H342)</f>
        <v>#N/A</v>
      </c>
      <c r="D28" t="str">
        <f>_xlfn.CONCAT(E28:H28)</f>
        <v/>
      </c>
      <c r="E28" t="str">
        <f>RIGHT('3.3 Vehicle'!$F$3, 2)</f>
        <v/>
      </c>
      <c r="F28" t="str">
        <f>LEFT('3.3 Vehicle'!$F$4, 1)</f>
        <v/>
      </c>
      <c r="G28" t="str">
        <f>LEFT('3.3 Vehicle'!$F$5, 1)</f>
        <v/>
      </c>
      <c r="H28" t="str">
        <f>LEFT('3.3 Vehicle'!$F$6, 2)</f>
        <v/>
      </c>
      <c r="N28" s="112"/>
    </row>
    <row r="29" spans="2:17" x14ac:dyDescent="0.25">
      <c r="B29" t="s">
        <v>139</v>
      </c>
      <c r="C29" s="21" t="e">
        <f>_xlfn.XLOOKUP(ROUNDDOWN('3.3 Vehicle'!F8,  -3), Mileage!B3:B27, Mileage!C3:C27)</f>
        <v>#N/A</v>
      </c>
      <c r="D29" s="24"/>
      <c r="E29" s="24"/>
      <c r="F29" s="24"/>
      <c r="N29" s="112"/>
    </row>
    <row r="30" spans="2:17" x14ac:dyDescent="0.25">
      <c r="B30" t="s">
        <v>183</v>
      </c>
      <c r="C30" s="40" t="e">
        <f>PRODUCT(C27:C29)*6</f>
        <v>#N/A</v>
      </c>
      <c r="D30" s="24"/>
      <c r="E30" s="24"/>
      <c r="F30" s="24"/>
    </row>
    <row r="31" spans="2:17" x14ac:dyDescent="0.25">
      <c r="B31" t="s">
        <v>108</v>
      </c>
      <c r="C31" s="23" t="e">
        <f ca="1">1-SUM(D31:F31)</f>
        <v>#N/A</v>
      </c>
      <c r="D31" s="24">
        <f>MCD</f>
        <v>0</v>
      </c>
      <c r="E31" s="24">
        <f ca="1">LD</f>
        <v>0</v>
      </c>
      <c r="F31" s="24" t="e">
        <f>_xlfn.XLOOKUP('3.3 Vehicle'!$F$9, 'Driver Discounts'!$E$6:$E$9, 'Driver Discounts'!$F$6:$F$9)</f>
        <v>#N/A</v>
      </c>
    </row>
    <row r="32" spans="2:17" x14ac:dyDescent="0.25">
      <c r="C32" s="58" t="e">
        <f>'Coverage Multiples'!$I$47</f>
        <v>#N/A</v>
      </c>
      <c r="I32" s="58"/>
    </row>
    <row r="33" spans="2:9" x14ac:dyDescent="0.25">
      <c r="C33" s="58"/>
      <c r="D33" s="46" t="s">
        <v>156</v>
      </c>
      <c r="E33" s="59" t="e">
        <f>'Coverage Multiples'!I38</f>
        <v>#N/A</v>
      </c>
      <c r="F33" s="46" t="s">
        <v>159</v>
      </c>
      <c r="G33" s="59" t="e">
        <f>'Coverage Multiples'!I41</f>
        <v>#N/A</v>
      </c>
      <c r="H33" s="46" t="s">
        <v>166</v>
      </c>
      <c r="I33" s="58" t="e">
        <f>'Coverage Multiples'!I44</f>
        <v>#N/A</v>
      </c>
    </row>
    <row r="34" spans="2:9" x14ac:dyDescent="0.25">
      <c r="C34" s="58"/>
      <c r="D34" s="46" t="s">
        <v>157</v>
      </c>
      <c r="E34" s="59" t="e">
        <f>'Coverage Multiples'!I39</f>
        <v>#N/A</v>
      </c>
      <c r="F34" s="46" t="s">
        <v>162</v>
      </c>
      <c r="G34" s="59" t="e">
        <f>'Coverage Multiples'!I42</f>
        <v>#N/A</v>
      </c>
      <c r="H34" s="46" t="s">
        <v>167</v>
      </c>
      <c r="I34" s="58" t="e">
        <f>'Coverage Multiples'!I45</f>
        <v>#N/A</v>
      </c>
    </row>
    <row r="35" spans="2:9" x14ac:dyDescent="0.25">
      <c r="C35" s="58"/>
      <c r="D35" s="46" t="s">
        <v>158</v>
      </c>
      <c r="E35" s="59" t="e">
        <f>'Coverage Multiples'!I40</f>
        <v>#N/A</v>
      </c>
      <c r="F35" s="46" t="s">
        <v>168</v>
      </c>
      <c r="G35" s="59" t="e">
        <f>'Coverage Multiples'!I43</f>
        <v>#N/A</v>
      </c>
      <c r="H35" s="46" t="s">
        <v>170</v>
      </c>
      <c r="I35" s="58" t="e">
        <f>'Coverage Multiples'!I46</f>
        <v>#N/A</v>
      </c>
    </row>
    <row r="36" spans="2:9" x14ac:dyDescent="0.25">
      <c r="B36" t="s">
        <v>56</v>
      </c>
      <c r="C36" s="58" t="e">
        <f ca="1">(C30+C32)*C31</f>
        <v>#N/A</v>
      </c>
      <c r="E36" s="59"/>
    </row>
    <row r="38" spans="2:9" x14ac:dyDescent="0.25">
      <c r="B38" t="s">
        <v>68</v>
      </c>
    </row>
    <row r="39" spans="2:9" x14ac:dyDescent="0.25">
      <c r="B39" t="s">
        <v>107</v>
      </c>
      <c r="C39" s="22" t="e">
        <f>_xlfn.XLOOKUP('3.4 Vehicle'!$F$9, DRG!$B$45:$B$48, DRG!$G$45:$G$48)</f>
        <v>#N/A</v>
      </c>
    </row>
    <row r="40" spans="2:9" x14ac:dyDescent="0.25">
      <c r="B40" t="s">
        <v>29</v>
      </c>
      <c r="C40" t="e">
        <f>_xlfn.XLOOKUP(D40, 'Vehicles &amp; GRG'!B18:B347, 'Vehicles &amp; GRG'!H18:H347)</f>
        <v>#N/A</v>
      </c>
      <c r="D40" t="str">
        <f>_xlfn.CONCAT(E40:H40)</f>
        <v/>
      </c>
      <c r="E40" t="str">
        <f>RIGHT('3.4 Vehicle'!$F$3, 2)</f>
        <v/>
      </c>
      <c r="F40" t="str">
        <f>LEFT('3.4 Vehicle'!$F$4, 1)</f>
        <v/>
      </c>
      <c r="G40" t="str">
        <f>LEFT('3.4 Vehicle'!$F$5, 1)</f>
        <v/>
      </c>
      <c r="H40" t="str">
        <f>LEFT('3.4 Vehicle'!$F$6, 2)</f>
        <v/>
      </c>
    </row>
    <row r="41" spans="2:9" x14ac:dyDescent="0.25">
      <c r="B41" t="s">
        <v>139</v>
      </c>
      <c r="C41" s="21" t="e">
        <f>_xlfn.XLOOKUP(ROUNDDOWN('3.4 Vehicle'!F8,  -3), Mileage!B3:B27, Mileage!C3:C27)</f>
        <v>#N/A</v>
      </c>
      <c r="D41" s="24"/>
      <c r="E41" s="24"/>
      <c r="F41" s="24"/>
    </row>
    <row r="42" spans="2:9" x14ac:dyDescent="0.25">
      <c r="B42" t="s">
        <v>183</v>
      </c>
      <c r="C42" s="40" t="e">
        <f>PRODUCT(C39:C41)*6</f>
        <v>#N/A</v>
      </c>
    </row>
    <row r="43" spans="2:9" x14ac:dyDescent="0.25">
      <c r="B43" t="s">
        <v>108</v>
      </c>
      <c r="C43" s="23" t="e">
        <f ca="1">1-SUM(D43:F43)</f>
        <v>#N/A</v>
      </c>
      <c r="D43" s="24">
        <f>MCD</f>
        <v>0</v>
      </c>
      <c r="E43" s="24">
        <f ca="1">LD</f>
        <v>0</v>
      </c>
      <c r="F43" s="24" t="e">
        <f>_xlfn.XLOOKUP('3.4 Vehicle'!$F$9, 'Driver Discounts'!$E$6:$E$9, 'Driver Discounts'!$F$6:$F$9)</f>
        <v>#N/A</v>
      </c>
    </row>
    <row r="44" spans="2:9" x14ac:dyDescent="0.25">
      <c r="C44" s="58" t="e">
        <f>'Coverage Multiples'!$J$47</f>
        <v>#N/A</v>
      </c>
    </row>
    <row r="45" spans="2:9" x14ac:dyDescent="0.25">
      <c r="C45" s="58"/>
      <c r="D45" s="46" t="s">
        <v>156</v>
      </c>
      <c r="E45" s="59" t="e">
        <f>'Coverage Multiples'!J38</f>
        <v>#N/A</v>
      </c>
      <c r="F45" s="46" t="s">
        <v>159</v>
      </c>
      <c r="G45" s="59" t="e">
        <f>'Coverage Multiples'!J41</f>
        <v>#N/A</v>
      </c>
      <c r="H45" s="46" t="s">
        <v>166</v>
      </c>
      <c r="I45" s="58" t="e">
        <f>'Coverage Multiples'!J44</f>
        <v>#N/A</v>
      </c>
    </row>
    <row r="46" spans="2:9" x14ac:dyDescent="0.25">
      <c r="C46" s="58"/>
      <c r="D46" s="46" t="s">
        <v>157</v>
      </c>
      <c r="E46" s="59" t="e">
        <f>'Coverage Multiples'!J39</f>
        <v>#N/A</v>
      </c>
      <c r="F46" s="46" t="s">
        <v>162</v>
      </c>
      <c r="G46" s="59" t="e">
        <f>'Coverage Multiples'!J42</f>
        <v>#N/A</v>
      </c>
      <c r="H46" s="46" t="s">
        <v>167</v>
      </c>
      <c r="I46" s="58" t="e">
        <f>'Coverage Multiples'!J45</f>
        <v>#N/A</v>
      </c>
    </row>
    <row r="47" spans="2:9" x14ac:dyDescent="0.25">
      <c r="C47" s="58"/>
      <c r="D47" s="46" t="s">
        <v>158</v>
      </c>
      <c r="E47" s="59" t="e">
        <f>'Coverage Multiples'!J40</f>
        <v>#N/A</v>
      </c>
      <c r="F47" s="46" t="s">
        <v>168</v>
      </c>
      <c r="G47" s="59" t="e">
        <f>'Coverage Multiples'!J43</f>
        <v>#N/A</v>
      </c>
      <c r="H47" s="46" t="s">
        <v>170</v>
      </c>
      <c r="I47" s="58" t="e">
        <f>'Coverage Multiples'!J46</f>
        <v>#N/A</v>
      </c>
    </row>
    <row r="48" spans="2:9" x14ac:dyDescent="0.25">
      <c r="B48" t="s">
        <v>56</v>
      </c>
      <c r="C48" s="58" t="e">
        <f ca="1">(C42+C44)*C43</f>
        <v>#N/A</v>
      </c>
      <c r="E48" s="59"/>
      <c r="G48" s="59"/>
    </row>
  </sheetData>
  <mergeCells count="8">
    <mergeCell ref="K2:M2"/>
    <mergeCell ref="K6:M6"/>
    <mergeCell ref="K11:M11"/>
    <mergeCell ref="K17:M17"/>
    <mergeCell ref="O2:Q2"/>
    <mergeCell ref="O6:Q6"/>
    <mergeCell ref="O11:Q11"/>
    <mergeCell ref="O17:Q1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1DDEB-FEBF-4F82-8A57-CB91DC7E1B2D}">
  <sheetPr codeName="Sheet19"/>
  <dimension ref="B2:AA48"/>
  <sheetViews>
    <sheetView topLeftCell="A16" workbookViewId="0">
      <selection activeCell="G8" sqref="G8"/>
    </sheetView>
  </sheetViews>
  <sheetFormatPr defaultRowHeight="15" x14ac:dyDescent="0.25"/>
  <cols>
    <col min="2" max="2" width="15.28515625" bestFit="1" customWidth="1"/>
    <col min="3" max="3" width="17" bestFit="1" customWidth="1"/>
    <col min="4" max="4" width="7.85546875" bestFit="1" customWidth="1"/>
    <col min="5" max="5" width="11.85546875" bestFit="1" customWidth="1"/>
    <col min="6" max="6" width="15.28515625" bestFit="1" customWidth="1"/>
    <col min="7" max="7" width="25.5703125" bestFit="1" customWidth="1"/>
    <col min="8" max="8" width="6.5703125" bestFit="1" customWidth="1"/>
    <col min="11" max="11" width="15.28515625" bestFit="1" customWidth="1"/>
    <col min="12" max="12" width="16" bestFit="1" customWidth="1"/>
    <col min="13" max="13" width="15.5703125" bestFit="1" customWidth="1"/>
    <col min="14" max="14" width="25.5703125" bestFit="1" customWidth="1"/>
    <col min="15" max="15" width="6.5703125" bestFit="1" customWidth="1"/>
    <col min="18" max="18" width="14.140625" bestFit="1" customWidth="1"/>
    <col min="19" max="21" width="14.140625" customWidth="1"/>
    <col min="25" max="25" width="25.5703125" bestFit="1" customWidth="1"/>
    <col min="26" max="26" width="11.42578125" bestFit="1" customWidth="1"/>
  </cols>
  <sheetData>
    <row r="2" spans="2:27" x14ac:dyDescent="0.25">
      <c r="B2" t="s">
        <v>14</v>
      </c>
      <c r="C2" t="e">
        <f>_xlfn.XLOOKUP('2.1 Driver'!$E$7, tblDrivers[License '#], tblDrivers[Name])</f>
        <v>#N/A</v>
      </c>
    </row>
    <row r="3" spans="2:27" x14ac:dyDescent="0.25">
      <c r="B3" t="str" cm="1">
        <f t="array" ref="B3:E9">'2.1 Driver'!H2:K8</f>
        <v>Accidents</v>
      </c>
      <c r="C3">
        <v>0</v>
      </c>
      <c r="D3">
        <v>0</v>
      </c>
      <c r="E3">
        <v>0</v>
      </c>
      <c r="K3" t="str" cm="1">
        <f t="array" ref="K3:L9">'2.1 Driver'!M2:N8</f>
        <v>Violations</v>
      </c>
      <c r="L3">
        <v>0</v>
      </c>
      <c r="Q3" t="s">
        <v>116</v>
      </c>
      <c r="R3" t="s">
        <v>117</v>
      </c>
      <c r="S3" t="s">
        <v>119</v>
      </c>
      <c r="T3" t="s">
        <v>124</v>
      </c>
      <c r="U3" t="s">
        <v>125</v>
      </c>
      <c r="W3" t="s">
        <v>120</v>
      </c>
      <c r="Y3" t="s">
        <v>115</v>
      </c>
    </row>
    <row r="4" spans="2:27" x14ac:dyDescent="0.25">
      <c r="B4" t="str">
        <v>License Number</v>
      </c>
      <c r="C4" t="str">
        <v>Accident Date(s)</v>
      </c>
      <c r="D4" t="str">
        <v>Liability</v>
      </c>
      <c r="E4" t="str">
        <v>Bodily Injury</v>
      </c>
      <c r="F4" t="s">
        <v>109</v>
      </c>
      <c r="G4" t="s">
        <v>121</v>
      </c>
      <c r="H4" t="s">
        <v>114</v>
      </c>
      <c r="K4" t="str">
        <v>License Number</v>
      </c>
      <c r="L4" t="str">
        <v>Violation Date(s)</v>
      </c>
      <c r="M4" t="s">
        <v>111</v>
      </c>
      <c r="N4" t="s">
        <v>121</v>
      </c>
      <c r="O4" t="s">
        <v>114</v>
      </c>
      <c r="Q4" t="e">
        <f ca="1">ROUNDDOWN((TODAY()-'2.1 Driver'!E6)/365.25, 0)</f>
        <v>#N/A</v>
      </c>
      <c r="R4">
        <f ca="1">ROUNDDOWN((TODAY()-'2.1 Driver'!E8)/365.25, 0)</f>
        <v>125</v>
      </c>
      <c r="S4">
        <f ca="1">1-IF(R4&gt;=9,((R4-9)*0.005),((R4-9)*0.05))</f>
        <v>0.42000000000000004</v>
      </c>
      <c r="T4">
        <f>'1. Household'!$D$10</f>
        <v>0</v>
      </c>
      <c r="U4" t="e">
        <f>_xlfn.XLOOKUP(T4, Locations!$B$4:$B$13, Locations!$D$4:$D$13)</f>
        <v>#N/A</v>
      </c>
      <c r="W4">
        <v>15</v>
      </c>
      <c r="Y4" t="s">
        <v>121</v>
      </c>
      <c r="Z4" t="s">
        <v>110</v>
      </c>
      <c r="AA4" t="s">
        <v>107</v>
      </c>
    </row>
    <row r="5" spans="2:27" x14ac:dyDescent="0.25">
      <c r="B5" t="str">
        <v/>
      </c>
      <c r="C5" s="5">
        <v>0</v>
      </c>
      <c r="D5">
        <v>0</v>
      </c>
      <c r="E5">
        <v>0</v>
      </c>
      <c r="F5" s="21" t="str">
        <f ca="1">IF(OR(D5=0, D5="N"), "X", (TODAY()-C5)/365.25)</f>
        <v>X</v>
      </c>
      <c r="G5" s="22">
        <f ca="1">IF(F5="X", 0, 6-ROUNDDOWN(F5, 0))</f>
        <v>0</v>
      </c>
      <c r="H5">
        <f ca="1">IF(AND(F5&lt;3, E5="Y"), 2, IF(F5&lt;3, 1, 0))</f>
        <v>0</v>
      </c>
      <c r="K5" t="str">
        <v/>
      </c>
      <c r="L5" s="5">
        <v>0</v>
      </c>
      <c r="M5" s="21" t="str">
        <f ca="1">IF(OR(L5=0, (TODAY()-L5)/365 &gt;= 6), "X",(TODAY()-L5)/365.25)</f>
        <v>X</v>
      </c>
      <c r="N5" s="22">
        <f ca="1">IF(M5="X", 0, 5-ROUNDDOWN(M5, 0))</f>
        <v>0</v>
      </c>
      <c r="O5">
        <f ca="1">IF(M5&lt;3, 1, 0)</f>
        <v>0</v>
      </c>
      <c r="Y5" s="21">
        <f ca="1">SUM(N10, G10)</f>
        <v>0</v>
      </c>
      <c r="Z5">
        <f ca="1">SUM(H10, O10)</f>
        <v>0</v>
      </c>
      <c r="AA5" s="22" t="e">
        <f ca="1">ROUNDUP($W$4*S4*(1+Y5*0.05)*(1+Z5*0.1)*$U$4, 0)</f>
        <v>#N/A</v>
      </c>
    </row>
    <row r="6" spans="2:27" x14ac:dyDescent="0.25">
      <c r="B6">
        <v>0</v>
      </c>
      <c r="C6" s="5">
        <v>0</v>
      </c>
      <c r="D6">
        <v>0</v>
      </c>
      <c r="E6">
        <v>0</v>
      </c>
      <c r="F6" s="21" t="str">
        <f ca="1">IF(OR(D6=0, D6="N"), "X", (TODAY()-C6)/365.25)</f>
        <v>X</v>
      </c>
      <c r="G6" s="22">
        <f ca="1">IF(F6="X", 0, 6-ROUNDDOWN(F6, 0))</f>
        <v>0</v>
      </c>
      <c r="H6">
        <f ca="1">IF(AND(F6&lt;3, E6="Y"), 2, IF(F6&lt;3, 1, 0))</f>
        <v>0</v>
      </c>
      <c r="K6">
        <v>0</v>
      </c>
      <c r="L6" s="5">
        <v>0</v>
      </c>
      <c r="M6" s="21" t="str">
        <f ca="1">IF(OR(L6=0, (TODAY()-L6)/365 &gt;= 6), "X",(TODAY()-L6)/365.25)</f>
        <v>X</v>
      </c>
      <c r="N6" s="22">
        <f ca="1">IF(M6="X", 0, 5-ROUNDDOWN(M6, 0))</f>
        <v>0</v>
      </c>
      <c r="O6">
        <f ca="1">IF(M6&lt;3, 1, 0)</f>
        <v>0</v>
      </c>
    </row>
    <row r="7" spans="2:27" x14ac:dyDescent="0.25">
      <c r="B7">
        <v>0</v>
      </c>
      <c r="C7" s="5">
        <v>0</v>
      </c>
      <c r="D7">
        <v>0</v>
      </c>
      <c r="E7">
        <v>0</v>
      </c>
      <c r="F7" s="21" t="str">
        <f ca="1">IF(OR(D7=0, D7="N"), "X", (TODAY()-C7)/365.25)</f>
        <v>X</v>
      </c>
      <c r="G7" s="22">
        <f ca="1">IF(F7="X", 0, 6-ROUNDDOWN(F7, 0))</f>
        <v>0</v>
      </c>
      <c r="H7">
        <f ca="1">IF(AND(F7&lt;3, E7="Y"), 2, IF(F7&lt;3, 1, 0))</f>
        <v>0</v>
      </c>
      <c r="K7">
        <v>0</v>
      </c>
      <c r="L7" s="5">
        <v>0</v>
      </c>
      <c r="M7" s="21" t="str">
        <f ca="1">IF(OR(L7=0, (TODAY()-L7)/365 &gt;= 6), "X",(TODAY()-L7)/365.25)</f>
        <v>X</v>
      </c>
      <c r="N7" s="22">
        <f ca="1">IF(M7="X", 0, 5-ROUNDDOWN(M7, 0))</f>
        <v>0</v>
      </c>
      <c r="O7">
        <f ca="1">IF(M7&lt;3, 1, 0)</f>
        <v>0</v>
      </c>
    </row>
    <row r="8" spans="2:27" x14ac:dyDescent="0.25">
      <c r="B8">
        <v>0</v>
      </c>
      <c r="C8" s="5">
        <v>0</v>
      </c>
      <c r="D8">
        <v>0</v>
      </c>
      <c r="E8">
        <v>0</v>
      </c>
      <c r="F8" s="21" t="str">
        <f ca="1">IF(OR(D8=0, D8="N"), "X", (TODAY()-C8)/365.25)</f>
        <v>X</v>
      </c>
      <c r="G8" s="22">
        <f ca="1">IF(F8="X", 0, 6-ROUNDDOWN(F8, 0))</f>
        <v>0</v>
      </c>
      <c r="H8">
        <f ca="1">IF(AND(F8&lt;3, E8="Y"), 2, IF(F8&lt;3, 1, 0))</f>
        <v>0</v>
      </c>
      <c r="K8">
        <v>0</v>
      </c>
      <c r="L8" s="5">
        <v>0</v>
      </c>
      <c r="M8" s="21" t="str">
        <f ca="1">IF(OR(L8=0, (TODAY()-L8)/365 &gt;= 6), "X",(TODAY()-L8)/365.25)</f>
        <v>X</v>
      </c>
      <c r="N8" s="22">
        <f ca="1">IF(M8="X", 0, 5-ROUNDDOWN(M8, 0))</f>
        <v>0</v>
      </c>
      <c r="O8">
        <f ca="1">IF(M8&lt;3, 1, 0)</f>
        <v>0</v>
      </c>
    </row>
    <row r="9" spans="2:27" x14ac:dyDescent="0.25">
      <c r="B9">
        <v>0</v>
      </c>
      <c r="C9" s="5">
        <v>0</v>
      </c>
      <c r="D9">
        <v>0</v>
      </c>
      <c r="E9">
        <v>0</v>
      </c>
      <c r="F9" s="21" t="str">
        <f ca="1">IF(OR(D9=0, D9="N"), "X", (TODAY()-C9)/365.25)</f>
        <v>X</v>
      </c>
      <c r="G9" s="22">
        <f ca="1">IF(F9="X", 0, 6-ROUNDDOWN(F9, 0))</f>
        <v>0</v>
      </c>
      <c r="H9">
        <f ca="1">IF(AND(F9&lt;3, E9="Y"), 2, IF(F9&lt;3, 1, 0))</f>
        <v>0</v>
      </c>
      <c r="K9">
        <v>0</v>
      </c>
      <c r="L9" s="5">
        <v>0</v>
      </c>
      <c r="M9" s="21" t="str">
        <f ca="1">IF(OR(L9=0, (TODAY()-L9)/365 &gt;= 6), "X",(TODAY()-L9)/365.25)</f>
        <v>X</v>
      </c>
      <c r="N9" s="22">
        <f ca="1">IF(M9="X", 0, 5-ROUNDDOWN(M9, 0))</f>
        <v>0</v>
      </c>
      <c r="O9">
        <f ca="1">IF(M9&lt;3, 1, 0)</f>
        <v>0</v>
      </c>
    </row>
    <row r="10" spans="2:27" x14ac:dyDescent="0.25">
      <c r="C10" s="5"/>
      <c r="F10" s="21" t="s">
        <v>112</v>
      </c>
      <c r="G10" s="22">
        <f ca="1">SUM(G5:G9)</f>
        <v>0</v>
      </c>
      <c r="H10">
        <f ca="1">SUM(H5:H9)</f>
        <v>0</v>
      </c>
      <c r="L10" s="5"/>
      <c r="M10" s="21" t="s">
        <v>112</v>
      </c>
      <c r="N10" s="22">
        <f ca="1">SUM(N5:N9)</f>
        <v>0</v>
      </c>
      <c r="O10">
        <f ca="1">SUM(O5:O9)</f>
        <v>0</v>
      </c>
    </row>
    <row r="12" spans="2:27" x14ac:dyDescent="0.25">
      <c r="B12" t="s">
        <v>15</v>
      </c>
      <c r="C12" t="e">
        <f>_xlfn.XLOOKUP('2.2 Driver'!$E$7, tblDrivers[License '#], tblDrivers[Name])</f>
        <v>#N/A</v>
      </c>
    </row>
    <row r="13" spans="2:27" x14ac:dyDescent="0.25">
      <c r="B13" t="str" cm="1">
        <f t="array" ref="B13:E19">'2.2 Driver'!H2:K8</f>
        <v>Accidents</v>
      </c>
      <c r="C13">
        <v>0</v>
      </c>
      <c r="D13">
        <v>0</v>
      </c>
      <c r="E13">
        <v>0</v>
      </c>
      <c r="K13" t="str" cm="1">
        <f t="array" ref="K13:L19">'2.2 Driver'!M2:N8</f>
        <v>Violations</v>
      </c>
      <c r="L13">
        <v>0</v>
      </c>
      <c r="Q13" t="s">
        <v>116</v>
      </c>
      <c r="R13" t="s">
        <v>117</v>
      </c>
      <c r="S13" t="s">
        <v>119</v>
      </c>
      <c r="T13" t="s">
        <v>124</v>
      </c>
      <c r="U13" t="s">
        <v>125</v>
      </c>
      <c r="Y13" t="s">
        <v>115</v>
      </c>
    </row>
    <row r="14" spans="2:27" x14ac:dyDescent="0.25">
      <c r="B14" t="str">
        <v>License Number</v>
      </c>
      <c r="C14" t="str">
        <v>Accident Date(s)</v>
      </c>
      <c r="D14" t="str">
        <v>Liability</v>
      </c>
      <c r="E14" t="str">
        <v>Bodily Injury</v>
      </c>
      <c r="F14" t="s">
        <v>109</v>
      </c>
      <c r="G14" t="s">
        <v>121</v>
      </c>
      <c r="H14" t="s">
        <v>114</v>
      </c>
      <c r="K14" t="str">
        <v>License Number</v>
      </c>
      <c r="L14" t="str">
        <v>Violation Date(s)</v>
      </c>
      <c r="M14" t="s">
        <v>111</v>
      </c>
      <c r="N14" t="s">
        <v>121</v>
      </c>
      <c r="O14" t="s">
        <v>114</v>
      </c>
      <c r="Q14" t="e">
        <f ca="1">ROUNDDOWN((TODAY()-'2.2 Driver'!E6)/365.25, 0)</f>
        <v>#N/A</v>
      </c>
      <c r="R14">
        <f ca="1">ROUNDDOWN((TODAY()-'2.2 Driver'!E8)/365.25, 0)</f>
        <v>125</v>
      </c>
      <c r="S14">
        <f ca="1">1-IF(R14&gt;=9,((R14-9)*0.005),((R14-9)*0.05))</f>
        <v>0.42000000000000004</v>
      </c>
      <c r="T14">
        <f>'1. Household'!$D$10</f>
        <v>0</v>
      </c>
      <c r="U14" t="e">
        <f>_xlfn.XLOOKUP(T14, Locations!$B$4:$B$13, Locations!$D$4:$D$13)</f>
        <v>#N/A</v>
      </c>
      <c r="Y14" t="s">
        <v>121</v>
      </c>
      <c r="Z14" t="s">
        <v>110</v>
      </c>
      <c r="AA14" t="s">
        <v>107</v>
      </c>
    </row>
    <row r="15" spans="2:27" x14ac:dyDescent="0.25">
      <c r="B15" t="str">
        <v/>
      </c>
      <c r="C15" s="5">
        <v>0</v>
      </c>
      <c r="D15">
        <v>0</v>
      </c>
      <c r="E15">
        <v>0</v>
      </c>
      <c r="F15" s="21" t="str">
        <f ca="1">IF(OR(D15=0, D15="N"), "X", (TODAY()-C15)/365.25)</f>
        <v>X</v>
      </c>
      <c r="G15" s="22">
        <f ca="1">IF(F15="X", 0, 6-ROUNDDOWN(F15, 0))</f>
        <v>0</v>
      </c>
      <c r="H15">
        <f ca="1">IF(AND(F15&lt;3, E15="Y"), 2, IF(F15&lt;3, 1, 0))</f>
        <v>0</v>
      </c>
      <c r="K15" t="str">
        <v/>
      </c>
      <c r="L15" s="5">
        <v>0</v>
      </c>
      <c r="M15" s="21" t="str">
        <f ca="1">IF(OR(L15=0, (TODAY()-L15)/365 &gt;= 6), "X",(TODAY()-L15)/365.25)</f>
        <v>X</v>
      </c>
      <c r="N15" s="22">
        <f ca="1">IF(M15="X", 0, 5-ROUNDDOWN(M15, 0))</f>
        <v>0</v>
      </c>
      <c r="O15">
        <f ca="1">IF(M15&lt;3, 1, 0)</f>
        <v>0</v>
      </c>
      <c r="Y15" s="21">
        <f ca="1">SUM(N20, G20)</f>
        <v>0</v>
      </c>
      <c r="Z15">
        <f ca="1">SUM(H20, O20)</f>
        <v>0</v>
      </c>
      <c r="AA15" s="22" t="e">
        <f ca="1">ROUNDUP($W$4*S14*(1+Y15*0.05)*(1+Z15*0.1)*$U$4, 0)</f>
        <v>#N/A</v>
      </c>
    </row>
    <row r="16" spans="2:27" x14ac:dyDescent="0.25">
      <c r="B16">
        <v>0</v>
      </c>
      <c r="C16" s="5">
        <v>0</v>
      </c>
      <c r="D16">
        <v>0</v>
      </c>
      <c r="E16">
        <v>0</v>
      </c>
      <c r="F16" s="21" t="str">
        <f ca="1">IF(OR(D16=0, D16="N"), "X", (TODAY()-C16)/365.25)</f>
        <v>X</v>
      </c>
      <c r="G16" s="22">
        <f ca="1">IF(F16="X", 0, 6-ROUNDDOWN(F16, 0))</f>
        <v>0</v>
      </c>
      <c r="H16">
        <f ca="1">IF(AND(F16&lt;3, E16="Y"), 2, IF(F16&lt;3, 1, 0))</f>
        <v>0</v>
      </c>
      <c r="K16">
        <v>0</v>
      </c>
      <c r="L16" s="5">
        <v>0</v>
      </c>
      <c r="M16" s="21" t="str">
        <f ca="1">IF(OR(L16=0, (TODAY()-L16)/365 &gt;= 6), "X",(TODAY()-L16)/365.25)</f>
        <v>X</v>
      </c>
      <c r="N16" s="22">
        <f ca="1">IF(M16="X", 0, 5-ROUNDDOWN(M16, 0))</f>
        <v>0</v>
      </c>
      <c r="O16">
        <f ca="1">IF(M16&lt;3, 1, 0)</f>
        <v>0</v>
      </c>
    </row>
    <row r="17" spans="2:27" x14ac:dyDescent="0.25">
      <c r="B17">
        <v>0</v>
      </c>
      <c r="C17" s="5">
        <v>0</v>
      </c>
      <c r="D17">
        <v>0</v>
      </c>
      <c r="E17">
        <v>0</v>
      </c>
      <c r="F17" s="21" t="str">
        <f ca="1">IF(OR(D17=0, D17="N"), "X", (TODAY()-C17)/365.25)</f>
        <v>X</v>
      </c>
      <c r="G17" s="22">
        <f ca="1">IF(F17="X", 0, 6-ROUNDDOWN(F17, 0))</f>
        <v>0</v>
      </c>
      <c r="H17">
        <f ca="1">IF(AND(F17&lt;3, E17="Y"), 2, IF(F17&lt;3, 1, 0))</f>
        <v>0</v>
      </c>
      <c r="K17">
        <v>0</v>
      </c>
      <c r="L17" s="5">
        <v>0</v>
      </c>
      <c r="M17" s="21" t="str">
        <f ca="1">IF(OR(L17=0, (TODAY()-L17)/365 &gt;= 6), "X",(TODAY()-L17)/365.25)</f>
        <v>X</v>
      </c>
      <c r="N17" s="22">
        <f ca="1">IF(M17="X", 0, 5-ROUNDDOWN(M17, 0))</f>
        <v>0</v>
      </c>
      <c r="O17">
        <f ca="1">IF(M17&lt;3, 1, 0)</f>
        <v>0</v>
      </c>
    </row>
    <row r="18" spans="2:27" x14ac:dyDescent="0.25">
      <c r="B18">
        <v>0</v>
      </c>
      <c r="C18" s="5">
        <v>0</v>
      </c>
      <c r="D18">
        <v>0</v>
      </c>
      <c r="E18">
        <v>0</v>
      </c>
      <c r="F18" s="21" t="str">
        <f ca="1">IF(OR(D18=0, D18="N"), "X", (TODAY()-C18)/365.25)</f>
        <v>X</v>
      </c>
      <c r="G18" s="22">
        <f ca="1">IF(F18="X", 0, 6-ROUNDDOWN(F18, 0))</f>
        <v>0</v>
      </c>
      <c r="H18">
        <f ca="1">IF(AND(F18&lt;3, E18="Y"), 2, IF(F18&lt;3, 1, 0))</f>
        <v>0</v>
      </c>
      <c r="K18">
        <v>0</v>
      </c>
      <c r="L18" s="5">
        <v>0</v>
      </c>
      <c r="M18" s="21" t="str">
        <f ca="1">IF(OR(L18=0, (TODAY()-L18)/365 &gt;= 6), "X",(TODAY()-L18)/365.25)</f>
        <v>X</v>
      </c>
      <c r="N18" s="22">
        <f ca="1">IF(M18="X", 0, 5-ROUNDDOWN(M18, 0))</f>
        <v>0</v>
      </c>
      <c r="O18">
        <f ca="1">IF(M18&lt;3, 1, 0)</f>
        <v>0</v>
      </c>
    </row>
    <row r="19" spans="2:27" x14ac:dyDescent="0.25">
      <c r="B19">
        <v>0</v>
      </c>
      <c r="C19" s="5">
        <v>0</v>
      </c>
      <c r="D19">
        <v>0</v>
      </c>
      <c r="E19">
        <v>0</v>
      </c>
      <c r="F19" s="21" t="str">
        <f ca="1">IF(OR(D19=0, D19="N"), "X", (TODAY()-C19)/365.25)</f>
        <v>X</v>
      </c>
      <c r="G19" s="22">
        <f ca="1">IF(F19="X", 0, 6-ROUNDDOWN(F19, 0))</f>
        <v>0</v>
      </c>
      <c r="H19">
        <f ca="1">IF(AND(F19&lt;3, E19="Y"), 2, IF(F19&lt;3, 1, 0))</f>
        <v>0</v>
      </c>
      <c r="K19">
        <v>0</v>
      </c>
      <c r="L19" s="5">
        <v>0</v>
      </c>
      <c r="M19" s="21" t="str">
        <f ca="1">IF(OR(L19=0, (TODAY()-L19)/365 &gt;= 6), "X",(TODAY()-L19)/365.25)</f>
        <v>X</v>
      </c>
      <c r="N19" s="22">
        <f ca="1">IF(M19="X", 0, 5-ROUNDDOWN(M19, 0))</f>
        <v>0</v>
      </c>
      <c r="O19">
        <f ca="1">IF(M19&lt;3, 1, 0)</f>
        <v>0</v>
      </c>
    </row>
    <row r="20" spans="2:27" x14ac:dyDescent="0.25">
      <c r="C20" s="5"/>
      <c r="F20" s="21" t="s">
        <v>112</v>
      </c>
      <c r="G20" s="22">
        <f ca="1">SUM(G15:G19)</f>
        <v>0</v>
      </c>
      <c r="H20">
        <f ca="1">SUM(H15:H19)</f>
        <v>0</v>
      </c>
      <c r="L20" s="5"/>
      <c r="M20" s="21" t="s">
        <v>112</v>
      </c>
      <c r="N20" s="22">
        <f ca="1">SUM(N15:N19)</f>
        <v>0</v>
      </c>
      <c r="O20">
        <f ca="1">SUM(O15:O19)</f>
        <v>0</v>
      </c>
    </row>
    <row r="22" spans="2:27" x14ac:dyDescent="0.25">
      <c r="B22" t="s">
        <v>16</v>
      </c>
      <c r="C22" t="e">
        <f>_xlfn.XLOOKUP('2.3 Driver'!$E$7, tblDrivers[License '#], tblDrivers[Name])</f>
        <v>#N/A</v>
      </c>
    </row>
    <row r="23" spans="2:27" x14ac:dyDescent="0.25">
      <c r="B23" t="str" cm="1">
        <f t="array" ref="B23:E29">'2.3 Driver'!H2:K8</f>
        <v>Accidents</v>
      </c>
      <c r="C23">
        <v>0</v>
      </c>
      <c r="D23">
        <v>0</v>
      </c>
      <c r="E23">
        <v>0</v>
      </c>
      <c r="K23" t="str" cm="1">
        <f t="array" ref="K23:L29">'2.3 Driver'!M2:N8</f>
        <v>Violations</v>
      </c>
      <c r="L23">
        <v>0</v>
      </c>
      <c r="Q23" t="s">
        <v>116</v>
      </c>
      <c r="R23" t="s">
        <v>117</v>
      </c>
      <c r="S23" t="s">
        <v>119</v>
      </c>
      <c r="T23" t="s">
        <v>124</v>
      </c>
      <c r="U23" t="s">
        <v>125</v>
      </c>
      <c r="Y23" t="s">
        <v>115</v>
      </c>
    </row>
    <row r="24" spans="2:27" x14ac:dyDescent="0.25">
      <c r="B24" t="str">
        <v>License Number</v>
      </c>
      <c r="C24" t="str">
        <v>Accident Date(s)</v>
      </c>
      <c r="D24" t="str">
        <v>Liability</v>
      </c>
      <c r="E24" t="str">
        <v>Bodily Injury</v>
      </c>
      <c r="F24" t="s">
        <v>109</v>
      </c>
      <c r="G24" t="s">
        <v>121</v>
      </c>
      <c r="H24" t="s">
        <v>114</v>
      </c>
      <c r="K24" t="str">
        <v>License Number</v>
      </c>
      <c r="L24" t="str">
        <v>Violation Date(s)</v>
      </c>
      <c r="M24" t="s">
        <v>111</v>
      </c>
      <c r="N24" t="s">
        <v>121</v>
      </c>
      <c r="O24" t="s">
        <v>114</v>
      </c>
      <c r="Q24" t="e">
        <f ca="1">ROUNDDOWN((TODAY()-'2.3 Driver'!E6)/365.25, 0)</f>
        <v>#N/A</v>
      </c>
      <c r="R24">
        <f ca="1">ROUNDDOWN((TODAY()-'2.3 Driver'!E8)/365.25, 0)</f>
        <v>125</v>
      </c>
      <c r="S24">
        <f ca="1">1-IF(R24&gt;=9,((R24-9)*0.005),((R24-9)*0.05))</f>
        <v>0.42000000000000004</v>
      </c>
      <c r="T24">
        <f>'1. Household'!$D$10</f>
        <v>0</v>
      </c>
      <c r="U24" t="e">
        <f>_xlfn.XLOOKUP(T24, Locations!$B$4:$B$13, Locations!$D$4:$D$13)</f>
        <v>#N/A</v>
      </c>
      <c r="Y24" t="s">
        <v>121</v>
      </c>
      <c r="Z24" t="s">
        <v>110</v>
      </c>
      <c r="AA24" t="s">
        <v>107</v>
      </c>
    </row>
    <row r="25" spans="2:27" x14ac:dyDescent="0.25">
      <c r="B25" t="str">
        <v/>
      </c>
      <c r="C25" s="5">
        <v>0</v>
      </c>
      <c r="D25">
        <v>0</v>
      </c>
      <c r="E25">
        <v>0</v>
      </c>
      <c r="F25" s="21" t="str">
        <f ca="1">IF(OR(D25=0, D25="N"), "X", (TODAY()-C25)/365.25)</f>
        <v>X</v>
      </c>
      <c r="G25" s="22">
        <f ca="1">IF(F25="X", 0, 6-ROUNDDOWN(F25, 0))</f>
        <v>0</v>
      </c>
      <c r="H25">
        <f ca="1">IF(AND(F25&lt;3, E25="Y"), 2, IF(F25&lt;3, 1, 0))</f>
        <v>0</v>
      </c>
      <c r="K25" t="str">
        <v/>
      </c>
      <c r="L25" s="5">
        <v>0</v>
      </c>
      <c r="M25" s="21" t="str">
        <f ca="1">IF(OR(L25=0, (TODAY()-L25)/365 &gt;= 6), "X",(TODAY()-L25)/365.25)</f>
        <v>X</v>
      </c>
      <c r="N25" s="22">
        <f ca="1">IF(M25="X", 0, 5-ROUNDDOWN(M25, 0))</f>
        <v>0</v>
      </c>
      <c r="O25">
        <f ca="1">IF(M25&lt;3, 1, 0)</f>
        <v>0</v>
      </c>
      <c r="Y25" s="21">
        <f ca="1">SUM(N30, G30)</f>
        <v>0</v>
      </c>
      <c r="Z25">
        <f ca="1">SUM(H30, O30)</f>
        <v>0</v>
      </c>
      <c r="AA25" s="22" t="e">
        <f ca="1">ROUNDUP($W$4*S24*(1+Y25*0.05)*(1+Z25*0.1)*$U$4, 0)</f>
        <v>#N/A</v>
      </c>
    </row>
    <row r="26" spans="2:27" x14ac:dyDescent="0.25">
      <c r="B26">
        <v>0</v>
      </c>
      <c r="C26" s="5">
        <v>0</v>
      </c>
      <c r="D26">
        <v>0</v>
      </c>
      <c r="E26">
        <v>0</v>
      </c>
      <c r="F26" s="21" t="str">
        <f ca="1">IF(OR(D26=0, D26="N"), "X", (TODAY()-C26)/365.25)</f>
        <v>X</v>
      </c>
      <c r="G26" s="22">
        <f ca="1">IF(F26="X", 0, 6-ROUNDDOWN(F26, 0))</f>
        <v>0</v>
      </c>
      <c r="H26">
        <f ca="1">IF(AND(F26&lt;3, E26="Y"), 2, IF(F26&lt;3, 1, 0))</f>
        <v>0</v>
      </c>
      <c r="K26">
        <v>0</v>
      </c>
      <c r="L26" s="5">
        <v>0</v>
      </c>
      <c r="M26" s="21" t="str">
        <f ca="1">IF(OR(L26=0, (TODAY()-L26)/365 &gt;= 6), "X",(TODAY()-L26)/365.25)</f>
        <v>X</v>
      </c>
      <c r="N26" s="22">
        <f ca="1">IF(M26="X", 0, 5-ROUNDDOWN(M26, 0))</f>
        <v>0</v>
      </c>
      <c r="O26">
        <f ca="1">IF(M26&lt;3, 1, 0)</f>
        <v>0</v>
      </c>
    </row>
    <row r="27" spans="2:27" x14ac:dyDescent="0.25">
      <c r="B27">
        <v>0</v>
      </c>
      <c r="C27" s="5">
        <v>0</v>
      </c>
      <c r="D27">
        <v>0</v>
      </c>
      <c r="E27">
        <v>0</v>
      </c>
      <c r="F27" s="21" t="str">
        <f ca="1">IF(OR(D27=0, D27="N"), "X", (TODAY()-C27)/365.25)</f>
        <v>X</v>
      </c>
      <c r="G27" s="22">
        <f ca="1">IF(F27="X", 0, 6-ROUNDDOWN(F27, 0))</f>
        <v>0</v>
      </c>
      <c r="H27">
        <f ca="1">IF(AND(F27&lt;3, E27="Y"), 2, IF(F27&lt;3, 1, 0))</f>
        <v>0</v>
      </c>
      <c r="K27">
        <v>0</v>
      </c>
      <c r="L27" s="5">
        <v>0</v>
      </c>
      <c r="M27" s="21" t="str">
        <f ca="1">IF(OR(L27=0, (TODAY()-L27)/365 &gt;= 6), "X",(TODAY()-L27)/365.25)</f>
        <v>X</v>
      </c>
      <c r="N27" s="22">
        <f ca="1">IF(M27="X", 0, 5-ROUNDDOWN(M27, 0))</f>
        <v>0</v>
      </c>
      <c r="O27">
        <f ca="1">IF(M27&lt;3, 1, 0)</f>
        <v>0</v>
      </c>
    </row>
    <row r="28" spans="2:27" x14ac:dyDescent="0.25">
      <c r="B28">
        <v>0</v>
      </c>
      <c r="C28" s="5">
        <v>0</v>
      </c>
      <c r="D28">
        <v>0</v>
      </c>
      <c r="E28">
        <v>0</v>
      </c>
      <c r="F28" s="21" t="str">
        <f ca="1">IF(OR(D28=0, D28="N"), "X", (TODAY()-C28)/365.25)</f>
        <v>X</v>
      </c>
      <c r="G28" s="22">
        <f ca="1">IF(F28="X", 0, 6-ROUNDDOWN(F28, 0))</f>
        <v>0</v>
      </c>
      <c r="H28">
        <f ca="1">IF(AND(F28&lt;3, E28="Y"), 2, IF(F28&lt;3, 1, 0))</f>
        <v>0</v>
      </c>
      <c r="K28">
        <v>0</v>
      </c>
      <c r="L28" s="5">
        <v>0</v>
      </c>
      <c r="M28" s="21" t="str">
        <f ca="1">IF(OR(L28=0, (TODAY()-L28)/365 &gt;= 6), "X",(TODAY()-L28)/365.25)</f>
        <v>X</v>
      </c>
      <c r="N28" s="22">
        <f ca="1">IF(M28="X", 0, 5-ROUNDDOWN(M28, 0))</f>
        <v>0</v>
      </c>
      <c r="O28">
        <f ca="1">IF(M28&lt;3, 1, 0)</f>
        <v>0</v>
      </c>
    </row>
    <row r="29" spans="2:27" x14ac:dyDescent="0.25">
      <c r="B29">
        <v>0</v>
      </c>
      <c r="C29" s="5">
        <v>0</v>
      </c>
      <c r="D29">
        <v>0</v>
      </c>
      <c r="E29">
        <v>0</v>
      </c>
      <c r="F29" s="21" t="str">
        <f ca="1">IF(OR(D29=0, D29="N"), "X", (TODAY()-C29)/365.25)</f>
        <v>X</v>
      </c>
      <c r="G29" s="22">
        <f ca="1">IF(F29="X", 0, 6-ROUNDDOWN(F29, 0))</f>
        <v>0</v>
      </c>
      <c r="H29">
        <f ca="1">IF(AND(F29&lt;3, E29="Y"), 2, IF(F29&lt;3, 1, 0))</f>
        <v>0</v>
      </c>
      <c r="K29">
        <v>0</v>
      </c>
      <c r="L29" s="5">
        <v>0</v>
      </c>
      <c r="M29" s="21" t="str">
        <f ca="1">IF(OR(L29=0, (TODAY()-L29)/365 &gt;= 6), "X",(TODAY()-L29)/365.25)</f>
        <v>X</v>
      </c>
      <c r="N29" s="22">
        <f ca="1">IF(M29="X", 0, 5-ROUNDDOWN(M29, 0))</f>
        <v>0</v>
      </c>
      <c r="O29">
        <f ca="1">IF(M29&lt;3, 1, 0)</f>
        <v>0</v>
      </c>
    </row>
    <row r="30" spans="2:27" x14ac:dyDescent="0.25">
      <c r="C30" s="5"/>
      <c r="F30" s="21" t="s">
        <v>112</v>
      </c>
      <c r="G30" s="22">
        <f ca="1">SUM(G25:G29)</f>
        <v>0</v>
      </c>
      <c r="H30">
        <f ca="1">SUM(H25:H29)</f>
        <v>0</v>
      </c>
      <c r="L30" s="5"/>
      <c r="M30" s="21" t="s">
        <v>112</v>
      </c>
      <c r="N30" s="22">
        <f ca="1">SUM(N25:N29)</f>
        <v>0</v>
      </c>
      <c r="O30">
        <f ca="1">SUM(O25:O29)</f>
        <v>0</v>
      </c>
    </row>
    <row r="32" spans="2:27" x14ac:dyDescent="0.25">
      <c r="B32" t="s">
        <v>17</v>
      </c>
      <c r="C32" t="e">
        <f>_xlfn.XLOOKUP('2.4 Driver'!$E$7, tblDrivers[License '#], tblDrivers[Name])</f>
        <v>#N/A</v>
      </c>
    </row>
    <row r="33" spans="2:27" x14ac:dyDescent="0.25">
      <c r="B33" t="str" cm="1">
        <f t="array" ref="B33:E39">'2.4 Driver'!H2:K8</f>
        <v>Accidents</v>
      </c>
      <c r="C33">
        <v>0</v>
      </c>
      <c r="D33">
        <v>0</v>
      </c>
      <c r="E33">
        <v>0</v>
      </c>
      <c r="K33" t="str" cm="1">
        <f t="array" ref="K33:L39">'2.4 Driver'!M2:N8</f>
        <v>Violations</v>
      </c>
      <c r="L33">
        <v>0</v>
      </c>
      <c r="Q33" t="s">
        <v>116</v>
      </c>
      <c r="R33" t="s">
        <v>117</v>
      </c>
      <c r="S33" t="s">
        <v>119</v>
      </c>
      <c r="T33" t="s">
        <v>124</v>
      </c>
      <c r="U33" t="s">
        <v>125</v>
      </c>
      <c r="Y33" t="s">
        <v>115</v>
      </c>
    </row>
    <row r="34" spans="2:27" x14ac:dyDescent="0.25">
      <c r="B34" t="str">
        <v>License Number</v>
      </c>
      <c r="C34" t="str">
        <v>Accident Date(s)</v>
      </c>
      <c r="D34" t="str">
        <v>Liability</v>
      </c>
      <c r="E34" t="str">
        <v>Bodily Injury</v>
      </c>
      <c r="F34" t="s">
        <v>109</v>
      </c>
      <c r="G34" t="s">
        <v>121</v>
      </c>
      <c r="H34" t="s">
        <v>114</v>
      </c>
      <c r="K34" t="str">
        <v>License Number</v>
      </c>
      <c r="L34" t="str">
        <v>Violation Date(s)</v>
      </c>
      <c r="M34" t="s">
        <v>111</v>
      </c>
      <c r="N34" t="s">
        <v>121</v>
      </c>
      <c r="O34" t="s">
        <v>114</v>
      </c>
      <c r="Q34" t="e">
        <f ca="1">ROUNDDOWN((TODAY()-'2.4 Driver'!E6)/365.25, 0)</f>
        <v>#N/A</v>
      </c>
      <c r="R34">
        <f ca="1">ROUNDDOWN((TODAY()-'2.4 Driver'!E8)/365.25, 0)</f>
        <v>125</v>
      </c>
      <c r="S34">
        <f ca="1">1-IF(R34&gt;=9,((R34-9)*0.005),((R34-9)*0.05))</f>
        <v>0.42000000000000004</v>
      </c>
      <c r="T34">
        <f>'1. Household'!$D$10</f>
        <v>0</v>
      </c>
      <c r="U34" t="e">
        <f>_xlfn.XLOOKUP(T34, Locations!$B$4:$B$13, Locations!$D$4:$D$13)</f>
        <v>#N/A</v>
      </c>
      <c r="Y34" t="s">
        <v>121</v>
      </c>
      <c r="Z34" t="s">
        <v>110</v>
      </c>
      <c r="AA34" t="s">
        <v>107</v>
      </c>
    </row>
    <row r="35" spans="2:27" x14ac:dyDescent="0.25">
      <c r="B35" t="str">
        <v/>
      </c>
      <c r="C35" s="5">
        <v>0</v>
      </c>
      <c r="D35">
        <v>0</v>
      </c>
      <c r="E35">
        <v>0</v>
      </c>
      <c r="F35" s="21" t="str">
        <f ca="1">IF(OR(D35=0, D35="N"), "X", (TODAY()-C35)/365.25)</f>
        <v>X</v>
      </c>
      <c r="G35" s="22">
        <f ca="1">IF(F35="X", 0, 6-ROUNDDOWN(F35, 0))</f>
        <v>0</v>
      </c>
      <c r="H35">
        <f ca="1">IF(AND(F35&lt;3, E35="Y"), 2, IF(F35&lt;3, 1, 0))</f>
        <v>0</v>
      </c>
      <c r="K35" t="str">
        <v/>
      </c>
      <c r="L35" s="5">
        <v>0</v>
      </c>
      <c r="M35" s="21" t="str">
        <f ca="1">IF(OR(L35=0, (TODAY()-L35)/365 &gt;= 6), "X",(TODAY()-L35)/365.25)</f>
        <v>X</v>
      </c>
      <c r="N35" s="22">
        <f ca="1">IF(M35="X", 0, 5-ROUNDDOWN(M35, 0))</f>
        <v>0</v>
      </c>
      <c r="O35">
        <f ca="1">IF(M35&lt;3, 1, 0)</f>
        <v>0</v>
      </c>
      <c r="Y35" s="21">
        <f ca="1">SUM(N40, G40)</f>
        <v>0</v>
      </c>
      <c r="Z35">
        <f ca="1">SUM(H40, O40)</f>
        <v>0</v>
      </c>
      <c r="AA35" s="22" t="e">
        <f ca="1">ROUNDUP($W$4*S34*(1+Y35*0.05)*(1+Z35*0.1)*$U$4, 0)</f>
        <v>#N/A</v>
      </c>
    </row>
    <row r="36" spans="2:27" x14ac:dyDescent="0.25">
      <c r="B36">
        <v>0</v>
      </c>
      <c r="C36" s="5">
        <v>0</v>
      </c>
      <c r="D36">
        <v>0</v>
      </c>
      <c r="E36">
        <v>0</v>
      </c>
      <c r="F36" s="21" t="str">
        <f ca="1">IF(OR(D36=0, D36="N"), "X", (TODAY()-C36)/365.25)</f>
        <v>X</v>
      </c>
      <c r="G36" s="22">
        <f ca="1">IF(F36="X", 0, 6-ROUNDDOWN(F36, 0))</f>
        <v>0</v>
      </c>
      <c r="H36">
        <f ca="1">IF(AND(F36&lt;3, E36="Y"), 2, IF(F36&lt;3, 1, 0))</f>
        <v>0</v>
      </c>
      <c r="K36">
        <v>0</v>
      </c>
      <c r="L36" s="5">
        <v>0</v>
      </c>
      <c r="M36" s="21" t="str">
        <f ca="1">IF(OR(L36=0, (TODAY()-L36)/365 &gt;= 6), "X",(TODAY()-L36)/365.25)</f>
        <v>X</v>
      </c>
      <c r="N36" s="22">
        <f ca="1">IF(M36="X", 0, 5-ROUNDDOWN(M36, 0))</f>
        <v>0</v>
      </c>
      <c r="O36">
        <f ca="1">IF(M36&lt;3, 1, 0)</f>
        <v>0</v>
      </c>
    </row>
    <row r="37" spans="2:27" x14ac:dyDescent="0.25">
      <c r="B37">
        <v>0</v>
      </c>
      <c r="C37" s="5">
        <v>0</v>
      </c>
      <c r="D37">
        <v>0</v>
      </c>
      <c r="E37">
        <v>0</v>
      </c>
      <c r="F37" s="21" t="str">
        <f ca="1">IF(OR(D37=0, D37="N"), "X", (TODAY()-C37)/365.25)</f>
        <v>X</v>
      </c>
      <c r="G37" s="22">
        <f ca="1">IF(F37="X", 0, 6-ROUNDDOWN(F37, 0))</f>
        <v>0</v>
      </c>
      <c r="H37">
        <f ca="1">IF(AND(F37&lt;3, E37="Y"), 2, IF(F37&lt;3, 1, 0))</f>
        <v>0</v>
      </c>
      <c r="K37">
        <v>0</v>
      </c>
      <c r="L37" s="5">
        <v>0</v>
      </c>
      <c r="M37" s="21" t="str">
        <f ca="1">IF(OR(L37=0, (TODAY()-L37)/365 &gt;= 6), "X",(TODAY()-L37)/365.25)</f>
        <v>X</v>
      </c>
      <c r="N37" s="22">
        <f ca="1">IF(M37="X", 0, 5-ROUNDDOWN(M37, 0))</f>
        <v>0</v>
      </c>
      <c r="O37">
        <f ca="1">IF(M37&lt;3, 1, 0)</f>
        <v>0</v>
      </c>
    </row>
    <row r="38" spans="2:27" x14ac:dyDescent="0.25">
      <c r="B38">
        <v>0</v>
      </c>
      <c r="C38" s="5">
        <v>0</v>
      </c>
      <c r="D38">
        <v>0</v>
      </c>
      <c r="E38">
        <v>0</v>
      </c>
      <c r="F38" s="21" t="str">
        <f ca="1">IF(OR(D38=0, D38="N"), "X", (TODAY()-C38)/365.25)</f>
        <v>X</v>
      </c>
      <c r="G38" s="22">
        <f ca="1">IF(F38="X", 0, 6-ROUNDDOWN(F38, 0))</f>
        <v>0</v>
      </c>
      <c r="H38">
        <f ca="1">IF(AND(F38&lt;3, E38="Y"), 2, IF(F38&lt;3, 1, 0))</f>
        <v>0</v>
      </c>
      <c r="K38">
        <v>0</v>
      </c>
      <c r="L38" s="5">
        <v>0</v>
      </c>
      <c r="M38" s="21" t="str">
        <f ca="1">IF(OR(L38=0, (TODAY()-L38)/365 &gt;= 6), "X",(TODAY()-L38)/365.25)</f>
        <v>X</v>
      </c>
      <c r="N38" s="22">
        <f ca="1">IF(M38="X", 0, 5-ROUNDDOWN(M38, 0))</f>
        <v>0</v>
      </c>
      <c r="O38">
        <f ca="1">IF(M38&lt;3, 1, 0)</f>
        <v>0</v>
      </c>
    </row>
    <row r="39" spans="2:27" x14ac:dyDescent="0.25">
      <c r="B39">
        <v>0</v>
      </c>
      <c r="C39" s="5">
        <v>0</v>
      </c>
      <c r="D39">
        <v>0</v>
      </c>
      <c r="E39">
        <v>0</v>
      </c>
      <c r="F39" s="21" t="str">
        <f ca="1">IF(OR(D39=0, D39="N"), "X", (TODAY()-C39)/365.25)</f>
        <v>X</v>
      </c>
      <c r="G39" s="22">
        <f ca="1">IF(F39="X", 0, 6-ROUNDDOWN(F39, 0))</f>
        <v>0</v>
      </c>
      <c r="H39">
        <f ca="1">IF(AND(F39&lt;3, E39="Y"), 2, IF(F39&lt;3, 1, 0))</f>
        <v>0</v>
      </c>
      <c r="K39">
        <v>0</v>
      </c>
      <c r="L39" s="5">
        <v>0</v>
      </c>
      <c r="M39" s="21" t="str">
        <f ca="1">IF(OR(L39=0, (TODAY()-L39)/365 &gt;= 6), "X",(TODAY()-L39)/365.25)</f>
        <v>X</v>
      </c>
      <c r="N39" s="22">
        <f ca="1">IF(M39="X", 0, 5-ROUNDDOWN(M39, 0))</f>
        <v>0</v>
      </c>
      <c r="O39">
        <f ca="1">IF(M39&lt;3, 1, 0)</f>
        <v>0</v>
      </c>
    </row>
    <row r="40" spans="2:27" x14ac:dyDescent="0.25">
      <c r="F40" s="21" t="s">
        <v>112</v>
      </c>
      <c r="G40" s="22">
        <f ca="1">SUM(G35:G39)</f>
        <v>0</v>
      </c>
      <c r="H40">
        <f ca="1">SUM(H35:H39)</f>
        <v>0</v>
      </c>
      <c r="M40" s="21" t="s">
        <v>112</v>
      </c>
      <c r="N40" s="22">
        <f ca="1">SUM(N35:N39)</f>
        <v>0</v>
      </c>
      <c r="O40">
        <f ca="1">SUM(O35:O39)</f>
        <v>0</v>
      </c>
    </row>
    <row r="44" spans="2:27" x14ac:dyDescent="0.25">
      <c r="B44" t="s">
        <v>123</v>
      </c>
      <c r="C44" t="s">
        <v>116</v>
      </c>
      <c r="D44" t="s">
        <v>117</v>
      </c>
      <c r="E44" t="s">
        <v>121</v>
      </c>
      <c r="F44" t="s">
        <v>110</v>
      </c>
      <c r="G44" t="s">
        <v>107</v>
      </c>
    </row>
    <row r="45" spans="2:27" x14ac:dyDescent="0.25">
      <c r="B45" t="str">
        <f>_xlfn.TEXTJOIN(" ", TRUE, '2.1 Driver'!$E$3:$F$5)</f>
        <v/>
      </c>
      <c r="C45" t="e">
        <f ca="1">Q4</f>
        <v>#N/A</v>
      </c>
      <c r="D45">
        <f ca="1">R4</f>
        <v>125</v>
      </c>
      <c r="E45" s="21">
        <f ca="1">Y5</f>
        <v>0</v>
      </c>
      <c r="F45" s="21">
        <f t="shared" ref="F45:G45" ca="1" si="0">Z5</f>
        <v>0</v>
      </c>
      <c r="G45" s="21" t="e">
        <f t="shared" ca="1" si="0"/>
        <v>#N/A</v>
      </c>
    </row>
    <row r="46" spans="2:27" x14ac:dyDescent="0.25">
      <c r="B46" t="str">
        <f>_xlfn.TEXTJOIN(" ", TRUE, '2.2 Driver'!$E$3:$F$5)</f>
        <v/>
      </c>
      <c r="C46" t="e">
        <f ca="1">Q14</f>
        <v>#N/A</v>
      </c>
      <c r="D46">
        <f ca="1">R14</f>
        <v>125</v>
      </c>
      <c r="E46" s="21">
        <f ca="1">Y15</f>
        <v>0</v>
      </c>
      <c r="F46" s="21">
        <f t="shared" ref="F46:G46" ca="1" si="1">Z15</f>
        <v>0</v>
      </c>
      <c r="G46" s="21" t="e">
        <f t="shared" ca="1" si="1"/>
        <v>#N/A</v>
      </c>
    </row>
    <row r="47" spans="2:27" x14ac:dyDescent="0.25">
      <c r="B47" t="str">
        <f>_xlfn.TEXTJOIN(" ", TRUE, '2.3 Driver'!$E$3:$F$5)</f>
        <v/>
      </c>
      <c r="C47" t="e">
        <f ca="1">Q24</f>
        <v>#N/A</v>
      </c>
      <c r="D47">
        <f ca="1">R24</f>
        <v>125</v>
      </c>
      <c r="E47" s="21">
        <f ca="1">Y25</f>
        <v>0</v>
      </c>
      <c r="F47" s="21">
        <f t="shared" ref="F47:G47" ca="1" si="2">Z25</f>
        <v>0</v>
      </c>
      <c r="G47" s="21" t="e">
        <f t="shared" ca="1" si="2"/>
        <v>#N/A</v>
      </c>
    </row>
    <row r="48" spans="2:27" x14ac:dyDescent="0.25">
      <c r="B48" t="str">
        <f>_xlfn.TEXTJOIN(" ", TRUE, '2.4 Driver'!$E$3:$F$5)</f>
        <v/>
      </c>
      <c r="C48" t="e">
        <f ca="1">Q34</f>
        <v>#N/A</v>
      </c>
      <c r="D48">
        <f ca="1">R34</f>
        <v>125</v>
      </c>
      <c r="E48" s="21">
        <f ca="1">Y35</f>
        <v>0</v>
      </c>
      <c r="F48" s="21">
        <f t="shared" ref="F48:G48" ca="1" si="3">Z35</f>
        <v>0</v>
      </c>
      <c r="G48" s="21" t="e">
        <f t="shared" ca="1" si="3"/>
        <v>#N/A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71327-E771-4424-8599-14798614AF5A}">
  <sheetPr codeName="Sheet20"/>
  <dimension ref="B1:J11"/>
  <sheetViews>
    <sheetView workbookViewId="0">
      <selection activeCell="G8" sqref="G8"/>
    </sheetView>
  </sheetViews>
  <sheetFormatPr defaultRowHeight="15" x14ac:dyDescent="0.25"/>
  <cols>
    <col min="2" max="2" width="17.5703125" customWidth="1"/>
    <col min="3" max="3" width="7.140625" customWidth="1"/>
    <col min="5" max="5" width="52.28515625" customWidth="1"/>
    <col min="6" max="6" width="7.140625" customWidth="1"/>
    <col min="8" max="8" width="45.42578125" bestFit="1" customWidth="1"/>
    <col min="9" max="9" width="7.140625" customWidth="1"/>
  </cols>
  <sheetData>
    <row r="1" spans="2:10" ht="15.75" thickBot="1" x14ac:dyDescent="0.3"/>
    <row r="2" spans="2:10" ht="15.75" thickBot="1" x14ac:dyDescent="0.3">
      <c r="B2" s="101" t="s">
        <v>129</v>
      </c>
      <c r="C2" s="103"/>
      <c r="E2" s="106" t="s">
        <v>128</v>
      </c>
      <c r="F2" s="107"/>
      <c r="H2" s="108" t="s">
        <v>132</v>
      </c>
      <c r="I2" s="109"/>
    </row>
    <row r="3" spans="2:10" ht="15.75" thickBot="1" x14ac:dyDescent="0.3">
      <c r="B3" s="26" t="s">
        <v>135</v>
      </c>
      <c r="C3" s="27" t="s">
        <v>137</v>
      </c>
      <c r="E3" s="26" t="s">
        <v>136</v>
      </c>
      <c r="F3" s="27" t="s">
        <v>137</v>
      </c>
      <c r="H3" s="26" t="s">
        <v>134</v>
      </c>
      <c r="I3" s="27" t="s">
        <v>137</v>
      </c>
      <c r="J3" s="23"/>
    </row>
    <row r="4" spans="2:10" x14ac:dyDescent="0.25">
      <c r="B4" s="28" t="s">
        <v>126</v>
      </c>
      <c r="C4" s="31">
        <v>0</v>
      </c>
      <c r="E4" s="28" t="s">
        <v>130</v>
      </c>
      <c r="F4" s="31">
        <v>0.25</v>
      </c>
      <c r="H4" s="25">
        <v>0</v>
      </c>
      <c r="I4" s="38">
        <v>0</v>
      </c>
      <c r="J4" s="23"/>
    </row>
    <row r="5" spans="2:10" ht="15.75" thickBot="1" x14ac:dyDescent="0.3">
      <c r="B5" s="30" t="s">
        <v>127</v>
      </c>
      <c r="C5" s="32">
        <v>0.2</v>
      </c>
      <c r="E5" s="30" t="s">
        <v>131</v>
      </c>
      <c r="F5" s="32">
        <v>0</v>
      </c>
      <c r="H5" s="28">
        <v>1</v>
      </c>
      <c r="I5" s="31">
        <v>0.05</v>
      </c>
      <c r="J5" s="23"/>
    </row>
    <row r="6" spans="2:10" ht="15.75" thickBot="1" x14ac:dyDescent="0.3">
      <c r="B6" s="33" t="s">
        <v>113</v>
      </c>
      <c r="C6" s="34">
        <f>IF('1. Household'!H4&gt;1, 20%, 0%)</f>
        <v>0</v>
      </c>
      <c r="E6" s="25" t="str">
        <f>DRG!B45</f>
        <v/>
      </c>
      <c r="F6" s="35">
        <f ca="1">IF(OR(DRG!Z5&gt;=2, DRG!R4&lt;3), 0%, IF(AND(DRG!Z5&lt;2, DRG!R4&gt;=3), 25%, ""))</f>
        <v>0.25</v>
      </c>
      <c r="H6" s="29">
        <v>2</v>
      </c>
      <c r="I6" s="39">
        <v>0.08</v>
      </c>
      <c r="J6" s="23"/>
    </row>
    <row r="7" spans="2:10" x14ac:dyDescent="0.25">
      <c r="E7" s="29" t="str">
        <f>DRG!B46</f>
        <v/>
      </c>
      <c r="F7" s="36">
        <f ca="1">IF(OR(DRG!Z15&gt;=2, DRG!R14&lt;3), 0%, IF(AND(DRG!Z15&lt;2, DRG!R14&gt;=3), 25%, ""))</f>
        <v>0.25</v>
      </c>
      <c r="H7" s="29">
        <v>3</v>
      </c>
      <c r="I7" s="39">
        <v>0.12</v>
      </c>
      <c r="J7" s="23"/>
    </row>
    <row r="8" spans="2:10" x14ac:dyDescent="0.25">
      <c r="E8" s="29" t="str">
        <f>DRG!B47</f>
        <v/>
      </c>
      <c r="F8" s="36">
        <f ca="1">IF(OR(DRG!Z25&gt;=2, DRG!R24&lt;3), 0%, IF(AND(DRG!Z25&lt;2, DRG!R24&gt;=3), 25%, ""))</f>
        <v>0.25</v>
      </c>
      <c r="H8" s="29">
        <v>4</v>
      </c>
      <c r="I8" s="39">
        <v>0.17</v>
      </c>
      <c r="J8" s="23"/>
    </row>
    <row r="9" spans="2:10" ht="15.75" thickBot="1" x14ac:dyDescent="0.3">
      <c r="E9" s="30" t="str">
        <f>DRG!B48</f>
        <v/>
      </c>
      <c r="F9" s="37">
        <f ca="1">IF(OR(DRG!Z35&gt;=2, DRG!R34&lt;3), 0%, IF(AND(DRG!Z35&lt;2, DRG!R34&gt;=3), 25%, ""))</f>
        <v>0.25</v>
      </c>
      <c r="H9" s="29">
        <v>5</v>
      </c>
      <c r="I9" s="39">
        <v>0.23</v>
      </c>
    </row>
    <row r="10" spans="2:10" ht="15.75" thickBot="1" x14ac:dyDescent="0.3">
      <c r="H10" s="30">
        <v>6</v>
      </c>
      <c r="I10" s="32">
        <v>0.3</v>
      </c>
    </row>
    <row r="11" spans="2:10" ht="15.75" thickBot="1" x14ac:dyDescent="0.3">
      <c r="H11" s="33" t="s">
        <v>113</v>
      </c>
      <c r="I11" s="34">
        <f ca="1">_xlfn.XLOOKUP(IF('1. Household'!H12 = "", 0, IF(ROUNDDOWN((TODAY()-'1. Household'!H12)/365.25, 0)&gt;=6, 6, ROUNDDOWN((TODAY()-'1. Household'!H12)/365.25, 0))), H4:H10, I4:I10)</f>
        <v>0</v>
      </c>
    </row>
  </sheetData>
  <mergeCells count="3">
    <mergeCell ref="B2:C2"/>
    <mergeCell ref="E2:F2"/>
    <mergeCell ref="H2:I2"/>
  </mergeCells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87F0F-9E6D-4B62-8D92-762EDB73B246}">
  <sheetPr codeName="Sheet21"/>
  <dimension ref="B2:U38"/>
  <sheetViews>
    <sheetView workbookViewId="0">
      <selection activeCell="G8" sqref="G8"/>
    </sheetView>
  </sheetViews>
  <sheetFormatPr defaultRowHeight="15" x14ac:dyDescent="0.25"/>
  <cols>
    <col min="1" max="1" width="9.140625" style="6"/>
    <col min="2" max="2" width="17" style="6" bestFit="1" customWidth="1"/>
    <col min="3" max="3" width="10.42578125" style="6" bestFit="1" customWidth="1"/>
    <col min="4" max="4" width="11.7109375" style="6" bestFit="1" customWidth="1"/>
    <col min="5" max="5" width="16.5703125" style="6" bestFit="1" customWidth="1"/>
    <col min="6" max="6" width="13.7109375" style="6" customWidth="1"/>
    <col min="7" max="7" width="11.7109375" style="6" bestFit="1" customWidth="1"/>
    <col min="8" max="8" width="16" style="6" bestFit="1" customWidth="1"/>
    <col min="9" max="9" width="10.42578125" style="6" bestFit="1" customWidth="1"/>
    <col min="10" max="10" width="14.42578125" style="6" bestFit="1" customWidth="1"/>
    <col min="11" max="11" width="18.42578125" style="6" bestFit="1" customWidth="1"/>
    <col min="12" max="12" width="11.7109375" style="6" bestFit="1" customWidth="1"/>
    <col min="13" max="13" width="16" style="6" bestFit="1" customWidth="1"/>
    <col min="14" max="14" width="10" style="6" customWidth="1"/>
    <col min="15" max="15" width="14" style="6" customWidth="1"/>
    <col min="16" max="16384" width="9.140625" style="6"/>
  </cols>
  <sheetData>
    <row r="2" spans="2:15" x14ac:dyDescent="0.25">
      <c r="B2" s="6" t="s">
        <v>104</v>
      </c>
      <c r="G2" s="6" t="s">
        <v>103</v>
      </c>
      <c r="M2" s="6" t="s">
        <v>101</v>
      </c>
    </row>
    <row r="3" spans="2:15" x14ac:dyDescent="0.25">
      <c r="B3" s="7" t="s">
        <v>69</v>
      </c>
      <c r="C3" s="7" t="s">
        <v>74</v>
      </c>
      <c r="D3" s="7" t="s">
        <v>70</v>
      </c>
      <c r="E3" s="7" t="s">
        <v>118</v>
      </c>
      <c r="F3" s="8"/>
      <c r="G3" s="7" t="s">
        <v>70</v>
      </c>
      <c r="H3" s="7" t="s">
        <v>71</v>
      </c>
      <c r="I3" s="7" t="s">
        <v>72</v>
      </c>
      <c r="J3" s="7" t="s">
        <v>73</v>
      </c>
      <c r="L3" s="7" t="s">
        <v>70</v>
      </c>
      <c r="M3" s="7" t="s">
        <v>71</v>
      </c>
      <c r="N3" s="7"/>
      <c r="O3" s="7"/>
    </row>
    <row r="4" spans="2:15" x14ac:dyDescent="0.25">
      <c r="B4" s="6" t="s">
        <v>76</v>
      </c>
      <c r="C4" s="8">
        <v>29611</v>
      </c>
      <c r="D4" s="6" t="s">
        <v>81</v>
      </c>
      <c r="E4" s="8">
        <v>36117</v>
      </c>
      <c r="F4" s="8"/>
      <c r="G4" s="6" t="s">
        <v>81</v>
      </c>
      <c r="H4" s="8">
        <v>45022</v>
      </c>
      <c r="I4" s="6" t="s">
        <v>89</v>
      </c>
      <c r="J4" s="8" t="s">
        <v>89</v>
      </c>
      <c r="L4" s="6" t="s">
        <v>82</v>
      </c>
      <c r="M4" s="8">
        <v>43551</v>
      </c>
      <c r="O4" s="8"/>
    </row>
    <row r="5" spans="2:15" x14ac:dyDescent="0.25">
      <c r="B5" s="6" t="s">
        <v>77</v>
      </c>
      <c r="C5" s="8">
        <v>37243</v>
      </c>
      <c r="D5" s="6" t="s">
        <v>82</v>
      </c>
      <c r="E5" s="8">
        <v>43474</v>
      </c>
      <c r="F5" s="8"/>
      <c r="G5" s="6" t="s">
        <v>83</v>
      </c>
      <c r="H5" s="8">
        <v>45631</v>
      </c>
      <c r="I5" s="6" t="s">
        <v>90</v>
      </c>
      <c r="J5" s="6" t="s">
        <v>90</v>
      </c>
      <c r="L5" s="6" t="s">
        <v>83</v>
      </c>
      <c r="M5" s="8">
        <v>45965</v>
      </c>
      <c r="O5" s="8"/>
    </row>
    <row r="6" spans="2:15" x14ac:dyDescent="0.25">
      <c r="B6" s="6" t="s">
        <v>79</v>
      </c>
      <c r="C6" s="8">
        <v>29337</v>
      </c>
      <c r="D6" s="6" t="s">
        <v>83</v>
      </c>
      <c r="E6" s="8">
        <v>36293</v>
      </c>
      <c r="G6" s="6" t="s">
        <v>83</v>
      </c>
      <c r="H6" s="8">
        <v>44686</v>
      </c>
      <c r="I6" s="6" t="s">
        <v>89</v>
      </c>
      <c r="J6" s="6" t="s">
        <v>90</v>
      </c>
      <c r="L6" s="6" t="s">
        <v>88</v>
      </c>
      <c r="M6" s="8">
        <v>45403</v>
      </c>
    </row>
    <row r="7" spans="2:15" x14ac:dyDescent="0.25">
      <c r="B7" s="6" t="s">
        <v>80</v>
      </c>
      <c r="C7" s="8">
        <v>32712</v>
      </c>
      <c r="D7" s="6" t="s">
        <v>88</v>
      </c>
      <c r="E7" s="8">
        <v>40401</v>
      </c>
      <c r="G7" s="6" t="s">
        <v>88</v>
      </c>
      <c r="H7" s="8">
        <v>45450</v>
      </c>
      <c r="I7" s="6" t="s">
        <v>89</v>
      </c>
      <c r="J7" s="6" t="s">
        <v>90</v>
      </c>
      <c r="L7" s="6" t="s">
        <v>88</v>
      </c>
      <c r="M7" s="8">
        <v>44427</v>
      </c>
    </row>
    <row r="8" spans="2:15" x14ac:dyDescent="0.25">
      <c r="B8" s="6" t="s">
        <v>75</v>
      </c>
      <c r="C8" s="8">
        <v>9608</v>
      </c>
      <c r="D8" s="6" t="s">
        <v>87</v>
      </c>
      <c r="E8" s="8">
        <v>17047</v>
      </c>
      <c r="G8" s="6" t="s">
        <v>87</v>
      </c>
      <c r="H8" s="8">
        <v>45755</v>
      </c>
      <c r="I8" s="6" t="s">
        <v>89</v>
      </c>
      <c r="J8" s="6" t="s">
        <v>90</v>
      </c>
      <c r="L8" s="6" t="s">
        <v>88</v>
      </c>
      <c r="M8" s="8">
        <v>43304</v>
      </c>
    </row>
    <row r="9" spans="2:15" x14ac:dyDescent="0.25">
      <c r="B9" s="6" t="s">
        <v>78</v>
      </c>
      <c r="C9" s="8">
        <v>17050</v>
      </c>
      <c r="D9" s="6" t="s">
        <v>84</v>
      </c>
      <c r="E9" s="8">
        <v>25627</v>
      </c>
      <c r="G9" s="6" t="s">
        <v>87</v>
      </c>
      <c r="H9" s="8">
        <v>45521</v>
      </c>
      <c r="I9" s="6" t="s">
        <v>89</v>
      </c>
      <c r="J9" s="6" t="s">
        <v>89</v>
      </c>
      <c r="L9" s="6" t="s">
        <v>87</v>
      </c>
      <c r="M9" s="8">
        <v>44616</v>
      </c>
    </row>
    <row r="10" spans="2:15" x14ac:dyDescent="0.25">
      <c r="B10" s="6" t="s">
        <v>85</v>
      </c>
      <c r="C10" s="8">
        <v>25479</v>
      </c>
      <c r="D10" s="6" t="s">
        <v>86</v>
      </c>
      <c r="E10" s="8">
        <v>33307</v>
      </c>
      <c r="G10" s="6" t="s">
        <v>87</v>
      </c>
      <c r="H10" s="8">
        <v>45199</v>
      </c>
      <c r="I10" s="6" t="s">
        <v>90</v>
      </c>
      <c r="J10" s="6" t="s">
        <v>90</v>
      </c>
      <c r="L10" s="6" t="s">
        <v>84</v>
      </c>
      <c r="M10" s="8">
        <v>45690</v>
      </c>
    </row>
    <row r="11" spans="2:15" x14ac:dyDescent="0.25">
      <c r="G11" s="6" t="s">
        <v>84</v>
      </c>
      <c r="H11" s="8">
        <v>44226</v>
      </c>
      <c r="I11" s="6" t="s">
        <v>90</v>
      </c>
      <c r="J11" s="6" t="s">
        <v>90</v>
      </c>
    </row>
    <row r="13" spans="2:15" x14ac:dyDescent="0.25">
      <c r="N13" s="8"/>
      <c r="O13" s="7"/>
    </row>
    <row r="14" spans="2:15" x14ac:dyDescent="0.25">
      <c r="H14" s="8"/>
      <c r="I14" s="7"/>
      <c r="J14" s="7"/>
      <c r="K14" s="7"/>
      <c r="N14" s="8"/>
    </row>
    <row r="15" spans="2:15" x14ac:dyDescent="0.25">
      <c r="H15" s="8"/>
      <c r="J15" s="8"/>
      <c r="N15" s="8"/>
    </row>
    <row r="16" spans="2:15" x14ac:dyDescent="0.25">
      <c r="H16" s="8"/>
      <c r="J16" s="8"/>
    </row>
    <row r="17" spans="10:21" x14ac:dyDescent="0.25">
      <c r="J17" s="8"/>
    </row>
    <row r="18" spans="10:21" x14ac:dyDescent="0.25">
      <c r="J18" s="8"/>
    </row>
    <row r="19" spans="10:21" x14ac:dyDescent="0.25">
      <c r="J19" s="8"/>
    </row>
    <row r="20" spans="10:21" x14ac:dyDescent="0.25">
      <c r="J20" s="8"/>
    </row>
    <row r="21" spans="10:21" x14ac:dyDescent="0.25">
      <c r="J21" s="8"/>
    </row>
    <row r="22" spans="10:21" x14ac:dyDescent="0.25">
      <c r="J22" s="8"/>
      <c r="L22" s="7"/>
      <c r="P22" s="7"/>
      <c r="Q22" s="7"/>
      <c r="R22" s="7"/>
      <c r="S22" s="7"/>
      <c r="T22" s="7"/>
      <c r="U22" s="7"/>
    </row>
    <row r="23" spans="10:21" x14ac:dyDescent="0.25">
      <c r="J23" s="8"/>
      <c r="P23" s="8"/>
      <c r="S23" s="8"/>
      <c r="U23" s="8"/>
    </row>
    <row r="24" spans="10:21" x14ac:dyDescent="0.25">
      <c r="J24" s="8"/>
      <c r="P24" s="8"/>
      <c r="S24" s="8"/>
      <c r="U24" s="8"/>
    </row>
    <row r="25" spans="10:21" x14ac:dyDescent="0.25">
      <c r="J25" s="8"/>
      <c r="P25" s="8"/>
      <c r="S25" s="8"/>
    </row>
    <row r="26" spans="10:21" x14ac:dyDescent="0.25">
      <c r="J26" s="8"/>
      <c r="P26" s="8"/>
      <c r="S26" s="8"/>
    </row>
    <row r="27" spans="10:21" x14ac:dyDescent="0.25">
      <c r="J27" s="8"/>
      <c r="P27" s="8"/>
      <c r="S27" s="8"/>
    </row>
    <row r="28" spans="10:21" x14ac:dyDescent="0.25">
      <c r="J28" s="8"/>
      <c r="P28" s="8"/>
      <c r="S28" s="8"/>
    </row>
    <row r="29" spans="10:21" x14ac:dyDescent="0.25">
      <c r="J29" s="8"/>
      <c r="P29" s="8"/>
      <c r="S29" s="8"/>
    </row>
    <row r="30" spans="10:21" x14ac:dyDescent="0.25">
      <c r="J30" s="8"/>
      <c r="P30" s="8"/>
      <c r="S30" s="8"/>
    </row>
    <row r="31" spans="10:21" x14ac:dyDescent="0.25">
      <c r="P31" s="8"/>
      <c r="S31" s="8"/>
    </row>
    <row r="32" spans="10:21" x14ac:dyDescent="0.25">
      <c r="P32" s="8"/>
      <c r="S32" s="8"/>
    </row>
    <row r="33" spans="16:19" x14ac:dyDescent="0.25">
      <c r="P33" s="8"/>
      <c r="S33" s="8"/>
    </row>
    <row r="34" spans="16:19" x14ac:dyDescent="0.25">
      <c r="P34" s="8"/>
      <c r="S34" s="8"/>
    </row>
    <row r="35" spans="16:19" x14ac:dyDescent="0.25">
      <c r="P35" s="8"/>
      <c r="S35" s="8"/>
    </row>
    <row r="36" spans="16:19" x14ac:dyDescent="0.25">
      <c r="P36" s="8"/>
      <c r="S36" s="8"/>
    </row>
    <row r="37" spans="16:19" x14ac:dyDescent="0.25">
      <c r="P37" s="8"/>
      <c r="S37" s="8"/>
    </row>
    <row r="38" spans="16:19" x14ac:dyDescent="0.25">
      <c r="P38" s="8"/>
    </row>
  </sheetData>
  <phoneticPr fontId="3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9D89F-DAFA-448A-82C2-11AEFB45861F}">
  <sheetPr codeName="Sheet22"/>
  <dimension ref="B2:F7"/>
  <sheetViews>
    <sheetView workbookViewId="0">
      <selection activeCell="G8" sqref="G8"/>
    </sheetView>
  </sheetViews>
  <sheetFormatPr defaultRowHeight="15" x14ac:dyDescent="0.25"/>
  <cols>
    <col min="2" max="2" width="15.28515625" bestFit="1" customWidth="1"/>
    <col min="4" max="4" width="11.85546875" bestFit="1" customWidth="1"/>
    <col min="5" max="5" width="9.42578125" bestFit="1" customWidth="1"/>
  </cols>
  <sheetData>
    <row r="2" spans="2:6" x14ac:dyDescent="0.25">
      <c r="B2" t="s">
        <v>100</v>
      </c>
      <c r="C2" t="s">
        <v>72</v>
      </c>
      <c r="D2" t="s">
        <v>73</v>
      </c>
      <c r="E2" t="s">
        <v>102</v>
      </c>
    </row>
    <row r="3" spans="2:6" x14ac:dyDescent="0.25">
      <c r="B3" s="5" t="e" cm="1">
        <f t="array" ref="B3">_xlfn.XLOOKUP($B$7, 'Driver Records'!$B$6, 'Driver Records'!#REF!)</f>
        <v>#REF!</v>
      </c>
      <c r="C3" s="5" t="e" cm="1">
        <f t="array" ref="C3">_xlfn.XLOOKUP($B$7, 'Driver Records'!$B$6, 'Driver Records'!#REF!)</f>
        <v>#REF!</v>
      </c>
      <c r="D3" s="5" t="e" cm="1">
        <f t="array" ref="D3">_xlfn.XLOOKUP($B$7, 'Driver Records'!$B$6, 'Driver Records'!#REF!)</f>
        <v>#REF!</v>
      </c>
      <c r="E3" s="5" t="e" cm="1">
        <f t="array" ref="E3">_xlfn.XLOOKUP($B$7, 'Driver Records'!$B$6, 'Driver Records'!#REF!)</f>
        <v>#REF!</v>
      </c>
      <c r="F3" s="5"/>
    </row>
    <row r="4" spans="2:6" x14ac:dyDescent="0.25">
      <c r="B4" s="8"/>
    </row>
    <row r="7" spans="2:6" x14ac:dyDescent="0.25">
      <c r="B7" t="s">
        <v>79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B8743-D3B4-45C4-9FAF-3042F973E400}">
  <sheetPr codeName="Sheet23"/>
  <dimension ref="B2:D13"/>
  <sheetViews>
    <sheetView workbookViewId="0">
      <selection activeCell="G8" sqref="G8"/>
    </sheetView>
  </sheetViews>
  <sheetFormatPr defaultRowHeight="15" x14ac:dyDescent="0.25"/>
  <sheetData>
    <row r="2" spans="2:4" x14ac:dyDescent="0.25">
      <c r="B2" t="s">
        <v>91</v>
      </c>
    </row>
    <row r="3" spans="2:4" x14ac:dyDescent="0.25">
      <c r="B3" t="s">
        <v>92</v>
      </c>
      <c r="C3" t="s">
        <v>93</v>
      </c>
      <c r="D3" t="s">
        <v>94</v>
      </c>
    </row>
    <row r="4" spans="2:4" x14ac:dyDescent="0.25">
      <c r="B4">
        <v>90001</v>
      </c>
      <c r="C4" t="s">
        <v>95</v>
      </c>
      <c r="D4">
        <v>1.2</v>
      </c>
    </row>
    <row r="5" spans="2:4" x14ac:dyDescent="0.25">
      <c r="B5">
        <v>90002</v>
      </c>
      <c r="C5" t="s">
        <v>96</v>
      </c>
      <c r="D5">
        <v>1</v>
      </c>
    </row>
    <row r="6" spans="2:4" x14ac:dyDescent="0.25">
      <c r="B6">
        <v>90003</v>
      </c>
      <c r="C6" t="s">
        <v>97</v>
      </c>
      <c r="D6">
        <v>0.8</v>
      </c>
    </row>
    <row r="7" spans="2:4" x14ac:dyDescent="0.25">
      <c r="B7">
        <v>90004</v>
      </c>
      <c r="C7" t="s">
        <v>95</v>
      </c>
      <c r="D7">
        <v>1.3</v>
      </c>
    </row>
    <row r="8" spans="2:4" x14ac:dyDescent="0.25">
      <c r="B8">
        <v>90005</v>
      </c>
      <c r="C8" t="s">
        <v>96</v>
      </c>
      <c r="D8">
        <v>1.1000000000000001</v>
      </c>
    </row>
    <row r="9" spans="2:4" x14ac:dyDescent="0.25">
      <c r="B9">
        <v>90006</v>
      </c>
      <c r="C9" t="s">
        <v>97</v>
      </c>
      <c r="D9">
        <v>0.7</v>
      </c>
    </row>
    <row r="10" spans="2:4" x14ac:dyDescent="0.25">
      <c r="B10">
        <v>90007</v>
      </c>
      <c r="C10" t="s">
        <v>95</v>
      </c>
      <c r="D10">
        <v>1.4</v>
      </c>
    </row>
    <row r="11" spans="2:4" x14ac:dyDescent="0.25">
      <c r="B11">
        <v>90008</v>
      </c>
      <c r="C11" t="s">
        <v>96</v>
      </c>
      <c r="D11">
        <v>0.9</v>
      </c>
    </row>
    <row r="12" spans="2:4" x14ac:dyDescent="0.25">
      <c r="B12">
        <v>90009</v>
      </c>
      <c r="C12" t="s">
        <v>97</v>
      </c>
      <c r="D12">
        <v>0.6</v>
      </c>
    </row>
    <row r="13" spans="2:4" x14ac:dyDescent="0.25">
      <c r="B13">
        <v>90010</v>
      </c>
      <c r="C13" t="s">
        <v>95</v>
      </c>
      <c r="D13">
        <v>1.5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DB7BE-73C0-4419-938B-AE5F90E54D7C}">
  <sheetPr codeName="Sheet24"/>
  <dimension ref="B2:P332"/>
  <sheetViews>
    <sheetView zoomScaleNormal="100" workbookViewId="0">
      <selection activeCell="G8" sqref="G8"/>
    </sheetView>
  </sheetViews>
  <sheetFormatPr defaultRowHeight="15" x14ac:dyDescent="0.25"/>
  <sheetData>
    <row r="2" spans="2:16" x14ac:dyDescent="0.25">
      <c r="B2" t="s">
        <v>65</v>
      </c>
      <c r="C2" t="s">
        <v>21</v>
      </c>
      <c r="D2" t="s">
        <v>19</v>
      </c>
      <c r="E2" t="s">
        <v>20</v>
      </c>
      <c r="F2" t="s">
        <v>22</v>
      </c>
      <c r="G2" t="s">
        <v>54</v>
      </c>
      <c r="H2" t="s">
        <v>29</v>
      </c>
      <c r="K2" t="s">
        <v>98</v>
      </c>
    </row>
    <row r="3" spans="2:16" x14ac:dyDescent="0.25">
      <c r="B3" t="str">
        <f>_xlfn.CONCAT(RIGHT(C3,2),LEFT(D3,1),LEFT(E3,1),LEFT(F3, 2))</f>
        <v>16FEBa</v>
      </c>
      <c r="C3">
        <v>2016</v>
      </c>
      <c r="D3" t="s">
        <v>28</v>
      </c>
      <c r="E3" t="s">
        <v>37</v>
      </c>
      <c r="F3" t="s">
        <v>44</v>
      </c>
      <c r="G3">
        <v>1</v>
      </c>
      <c r="H3">
        <v>21</v>
      </c>
      <c r="K3" t="s">
        <v>19</v>
      </c>
      <c r="L3" t="s">
        <v>20</v>
      </c>
      <c r="M3" t="s">
        <v>99</v>
      </c>
    </row>
    <row r="4" spans="2:16" x14ac:dyDescent="0.25">
      <c r="B4" t="str">
        <f t="shared" ref="B4:B67" si="0">_xlfn.CONCAT(RIGHT(C4,2),LEFT(D4,1),LEFT(E4,1),LEFT(F4, 2))</f>
        <v>17FEBa</v>
      </c>
      <c r="C4">
        <v>2017</v>
      </c>
      <c r="D4" t="s">
        <v>28</v>
      </c>
      <c r="E4" t="s">
        <v>37</v>
      </c>
      <c r="F4" t="s">
        <v>44</v>
      </c>
      <c r="G4">
        <v>1</v>
      </c>
      <c r="H4">
        <v>21</v>
      </c>
      <c r="K4" t="s">
        <v>28</v>
      </c>
      <c r="L4" t="s">
        <v>37</v>
      </c>
      <c r="M4" t="s">
        <v>44</v>
      </c>
      <c r="N4" t="s">
        <v>45</v>
      </c>
      <c r="O4" t="s">
        <v>46</v>
      </c>
    </row>
    <row r="5" spans="2:16" x14ac:dyDescent="0.25">
      <c r="B5" t="str">
        <f t="shared" si="0"/>
        <v>18FEBa</v>
      </c>
      <c r="C5">
        <v>2018</v>
      </c>
      <c r="D5" t="s">
        <v>28</v>
      </c>
      <c r="E5" t="s">
        <v>37</v>
      </c>
      <c r="F5" t="s">
        <v>44</v>
      </c>
      <c r="G5">
        <v>1</v>
      </c>
      <c r="H5">
        <v>21</v>
      </c>
      <c r="K5" t="s">
        <v>28</v>
      </c>
      <c r="L5" t="s">
        <v>38</v>
      </c>
      <c r="M5" t="s">
        <v>47</v>
      </c>
      <c r="N5" t="s">
        <v>48</v>
      </c>
      <c r="O5" t="s">
        <v>49</v>
      </c>
      <c r="P5" t="s">
        <v>50</v>
      </c>
    </row>
    <row r="6" spans="2:16" x14ac:dyDescent="0.25">
      <c r="B6" t="str">
        <f t="shared" si="0"/>
        <v>19FEBa</v>
      </c>
      <c r="C6">
        <v>2019</v>
      </c>
      <c r="D6" t="s">
        <v>28</v>
      </c>
      <c r="E6" t="s">
        <v>37</v>
      </c>
      <c r="F6" t="s">
        <v>44</v>
      </c>
      <c r="G6">
        <v>1</v>
      </c>
      <c r="H6">
        <v>22</v>
      </c>
      <c r="K6" t="s">
        <v>28</v>
      </c>
      <c r="L6" t="s">
        <v>36</v>
      </c>
      <c r="M6" t="s">
        <v>42</v>
      </c>
      <c r="N6" t="s">
        <v>43</v>
      </c>
    </row>
    <row r="7" spans="2:16" x14ac:dyDescent="0.25">
      <c r="B7" t="str">
        <f t="shared" si="0"/>
        <v>20FEBa</v>
      </c>
      <c r="C7">
        <v>2020</v>
      </c>
      <c r="D7" t="s">
        <v>28</v>
      </c>
      <c r="E7" t="s">
        <v>37</v>
      </c>
      <c r="F7" t="s">
        <v>44</v>
      </c>
      <c r="G7">
        <v>1</v>
      </c>
      <c r="H7">
        <v>22</v>
      </c>
      <c r="K7" t="s">
        <v>26</v>
      </c>
      <c r="L7" t="s">
        <v>31</v>
      </c>
      <c r="M7" t="s">
        <v>51</v>
      </c>
      <c r="N7" t="s">
        <v>52</v>
      </c>
      <c r="O7" t="s">
        <v>53</v>
      </c>
    </row>
    <row r="8" spans="2:16" x14ac:dyDescent="0.25">
      <c r="B8" t="str">
        <f t="shared" si="0"/>
        <v>21FEBa</v>
      </c>
      <c r="C8">
        <v>2021</v>
      </c>
      <c r="D8" t="s">
        <v>28</v>
      </c>
      <c r="E8" t="s">
        <v>37</v>
      </c>
      <c r="F8" t="s">
        <v>44</v>
      </c>
      <c r="G8">
        <v>1</v>
      </c>
      <c r="H8">
        <v>22</v>
      </c>
      <c r="K8" t="s">
        <v>26</v>
      </c>
      <c r="L8" t="s">
        <v>30</v>
      </c>
      <c r="M8" t="s">
        <v>51</v>
      </c>
      <c r="N8" t="s">
        <v>53</v>
      </c>
    </row>
    <row r="9" spans="2:16" x14ac:dyDescent="0.25">
      <c r="B9" t="str">
        <f t="shared" si="0"/>
        <v>22FEBa</v>
      </c>
      <c r="C9">
        <v>2022</v>
      </c>
      <c r="D9" t="s">
        <v>28</v>
      </c>
      <c r="E9" t="s">
        <v>37</v>
      </c>
      <c r="F9" t="s">
        <v>44</v>
      </c>
      <c r="G9">
        <v>1</v>
      </c>
      <c r="H9">
        <v>23</v>
      </c>
      <c r="K9" t="s">
        <v>26</v>
      </c>
      <c r="L9" t="s">
        <v>32</v>
      </c>
      <c r="M9" t="s">
        <v>51</v>
      </c>
      <c r="N9" t="s">
        <v>55</v>
      </c>
    </row>
    <row r="10" spans="2:16" x14ac:dyDescent="0.25">
      <c r="B10" t="str">
        <f t="shared" si="0"/>
        <v>23FEBa</v>
      </c>
      <c r="C10">
        <v>2023</v>
      </c>
      <c r="D10" t="s">
        <v>28</v>
      </c>
      <c r="E10" t="s">
        <v>37</v>
      </c>
      <c r="F10" t="s">
        <v>44</v>
      </c>
      <c r="G10">
        <v>1</v>
      </c>
      <c r="H10">
        <v>23</v>
      </c>
      <c r="K10" t="s">
        <v>39</v>
      </c>
      <c r="L10" t="s">
        <v>40</v>
      </c>
      <c r="M10" t="s">
        <v>52</v>
      </c>
      <c r="N10" t="s">
        <v>50</v>
      </c>
    </row>
    <row r="11" spans="2:16" x14ac:dyDescent="0.25">
      <c r="B11" t="str">
        <f t="shared" si="0"/>
        <v>24FEBa</v>
      </c>
      <c r="C11">
        <v>2024</v>
      </c>
      <c r="D11" t="s">
        <v>28</v>
      </c>
      <c r="E11" t="s">
        <v>37</v>
      </c>
      <c r="F11" t="s">
        <v>44</v>
      </c>
      <c r="G11">
        <v>1</v>
      </c>
      <c r="H11">
        <v>23</v>
      </c>
      <c r="K11" t="s">
        <v>39</v>
      </c>
      <c r="L11" t="s">
        <v>41</v>
      </c>
      <c r="M11" t="s">
        <v>52</v>
      </c>
      <c r="N11" t="s">
        <v>50</v>
      </c>
    </row>
    <row r="12" spans="2:16" x14ac:dyDescent="0.25">
      <c r="B12" t="str">
        <f t="shared" si="0"/>
        <v>25FEBa</v>
      </c>
      <c r="C12">
        <v>2025</v>
      </c>
      <c r="D12" t="s">
        <v>28</v>
      </c>
      <c r="E12" t="s">
        <v>37</v>
      </c>
      <c r="F12" t="s">
        <v>44</v>
      </c>
      <c r="G12">
        <v>1</v>
      </c>
      <c r="H12">
        <v>23</v>
      </c>
      <c r="K12" t="s">
        <v>27</v>
      </c>
      <c r="L12" t="s">
        <v>33</v>
      </c>
      <c r="M12" t="s">
        <v>56</v>
      </c>
      <c r="N12" t="s">
        <v>57</v>
      </c>
    </row>
    <row r="13" spans="2:16" x14ac:dyDescent="0.25">
      <c r="B13" t="str">
        <f t="shared" si="0"/>
        <v>16FESp</v>
      </c>
      <c r="C13">
        <v>2016</v>
      </c>
      <c r="D13" t="s">
        <v>28</v>
      </c>
      <c r="E13" t="s">
        <v>37</v>
      </c>
      <c r="F13" t="s">
        <v>45</v>
      </c>
      <c r="G13">
        <v>2</v>
      </c>
      <c r="H13">
        <v>22</v>
      </c>
      <c r="K13" t="s">
        <v>27</v>
      </c>
      <c r="L13" t="s">
        <v>34</v>
      </c>
      <c r="M13" t="s">
        <v>58</v>
      </c>
      <c r="N13" t="s">
        <v>59</v>
      </c>
      <c r="O13" t="s">
        <v>60</v>
      </c>
    </row>
    <row r="14" spans="2:16" x14ac:dyDescent="0.25">
      <c r="B14" t="str">
        <f t="shared" si="0"/>
        <v>17FESp</v>
      </c>
      <c r="C14">
        <v>2017</v>
      </c>
      <c r="D14" t="s">
        <v>28</v>
      </c>
      <c r="E14" t="s">
        <v>37</v>
      </c>
      <c r="F14" t="s">
        <v>45</v>
      </c>
      <c r="G14">
        <v>2</v>
      </c>
      <c r="H14">
        <v>22</v>
      </c>
      <c r="K14" t="s">
        <v>25</v>
      </c>
      <c r="L14" t="s">
        <v>35</v>
      </c>
      <c r="M14" t="s">
        <v>61</v>
      </c>
      <c r="N14" t="s">
        <v>52</v>
      </c>
      <c r="O14" t="s">
        <v>62</v>
      </c>
      <c r="P14" t="s">
        <v>63</v>
      </c>
    </row>
    <row r="15" spans="2:16" x14ac:dyDescent="0.25">
      <c r="B15" t="str">
        <f t="shared" si="0"/>
        <v>18FESp</v>
      </c>
      <c r="C15">
        <v>2018</v>
      </c>
      <c r="D15" t="s">
        <v>28</v>
      </c>
      <c r="E15" t="s">
        <v>37</v>
      </c>
      <c r="F15" t="s">
        <v>45</v>
      </c>
      <c r="G15">
        <v>2</v>
      </c>
      <c r="H15">
        <v>22</v>
      </c>
      <c r="K15" t="s">
        <v>25</v>
      </c>
      <c r="L15" t="s">
        <v>64</v>
      </c>
      <c r="M15" t="s">
        <v>61</v>
      </c>
      <c r="N15" t="s">
        <v>52</v>
      </c>
      <c r="O15" t="s">
        <v>62</v>
      </c>
      <c r="P15" t="s">
        <v>63</v>
      </c>
    </row>
    <row r="16" spans="2:16" x14ac:dyDescent="0.25">
      <c r="B16" t="str">
        <f t="shared" si="0"/>
        <v>19FESp</v>
      </c>
      <c r="C16">
        <v>2019</v>
      </c>
      <c r="D16" t="s">
        <v>28</v>
      </c>
      <c r="E16" t="s">
        <v>37</v>
      </c>
      <c r="F16" t="s">
        <v>45</v>
      </c>
      <c r="G16">
        <v>2</v>
      </c>
      <c r="H16">
        <v>23</v>
      </c>
    </row>
    <row r="17" spans="2:8" x14ac:dyDescent="0.25">
      <c r="B17" t="str">
        <f t="shared" si="0"/>
        <v>20FESp</v>
      </c>
      <c r="C17">
        <v>2020</v>
      </c>
      <c r="D17" t="s">
        <v>28</v>
      </c>
      <c r="E17" t="s">
        <v>37</v>
      </c>
      <c r="F17" t="s">
        <v>45</v>
      </c>
      <c r="G17">
        <v>2</v>
      </c>
      <c r="H17">
        <v>23</v>
      </c>
    </row>
    <row r="18" spans="2:8" x14ac:dyDescent="0.25">
      <c r="B18" t="str">
        <f t="shared" si="0"/>
        <v>21FESp</v>
      </c>
      <c r="C18">
        <v>2021</v>
      </c>
      <c r="D18" t="s">
        <v>28</v>
      </c>
      <c r="E18" t="s">
        <v>37</v>
      </c>
      <c r="F18" t="s">
        <v>45</v>
      </c>
      <c r="G18">
        <v>2</v>
      </c>
      <c r="H18">
        <v>23</v>
      </c>
    </row>
    <row r="19" spans="2:8" x14ac:dyDescent="0.25">
      <c r="B19" t="str">
        <f t="shared" si="0"/>
        <v>22FESp</v>
      </c>
      <c r="C19">
        <v>2022</v>
      </c>
      <c r="D19" t="s">
        <v>28</v>
      </c>
      <c r="E19" t="s">
        <v>37</v>
      </c>
      <c r="F19" t="s">
        <v>45</v>
      </c>
      <c r="G19">
        <v>2</v>
      </c>
      <c r="H19">
        <v>24</v>
      </c>
    </row>
    <row r="20" spans="2:8" x14ac:dyDescent="0.25">
      <c r="B20" t="str">
        <f t="shared" si="0"/>
        <v>23FESp</v>
      </c>
      <c r="C20">
        <v>2023</v>
      </c>
      <c r="D20" t="s">
        <v>28</v>
      </c>
      <c r="E20" t="s">
        <v>37</v>
      </c>
      <c r="F20" t="s">
        <v>45</v>
      </c>
      <c r="G20">
        <v>2</v>
      </c>
      <c r="H20">
        <v>24</v>
      </c>
    </row>
    <row r="21" spans="2:8" x14ac:dyDescent="0.25">
      <c r="B21" t="str">
        <f t="shared" si="0"/>
        <v>24FESp</v>
      </c>
      <c r="C21">
        <v>2024</v>
      </c>
      <c r="D21" t="s">
        <v>28</v>
      </c>
      <c r="E21" t="s">
        <v>37</v>
      </c>
      <c r="F21" t="s">
        <v>45</v>
      </c>
      <c r="G21">
        <v>2</v>
      </c>
      <c r="H21">
        <v>24</v>
      </c>
    </row>
    <row r="22" spans="2:8" x14ac:dyDescent="0.25">
      <c r="B22" t="str">
        <f t="shared" si="0"/>
        <v>25FESp</v>
      </c>
      <c r="C22">
        <v>2025</v>
      </c>
      <c r="D22" t="s">
        <v>28</v>
      </c>
      <c r="E22" t="s">
        <v>37</v>
      </c>
      <c r="F22" t="s">
        <v>45</v>
      </c>
      <c r="G22">
        <v>2</v>
      </c>
      <c r="H22">
        <v>24</v>
      </c>
    </row>
    <row r="23" spans="2:8" x14ac:dyDescent="0.25">
      <c r="B23" t="str">
        <f t="shared" si="0"/>
        <v>16FEPl</v>
      </c>
      <c r="C23">
        <v>2016</v>
      </c>
      <c r="D23" t="s">
        <v>28</v>
      </c>
      <c r="E23" t="s">
        <v>37</v>
      </c>
      <c r="F23" t="s">
        <v>46</v>
      </c>
      <c r="G23">
        <v>3</v>
      </c>
      <c r="H23">
        <v>23</v>
      </c>
    </row>
    <row r="24" spans="2:8" x14ac:dyDescent="0.25">
      <c r="B24" t="str">
        <f t="shared" si="0"/>
        <v>17FEPl</v>
      </c>
      <c r="C24">
        <v>2017</v>
      </c>
      <c r="D24" t="s">
        <v>28</v>
      </c>
      <c r="E24" t="s">
        <v>37</v>
      </c>
      <c r="F24" t="s">
        <v>46</v>
      </c>
      <c r="G24">
        <v>3</v>
      </c>
      <c r="H24">
        <v>23</v>
      </c>
    </row>
    <row r="25" spans="2:8" x14ac:dyDescent="0.25">
      <c r="B25" t="str">
        <f t="shared" si="0"/>
        <v>18FEPl</v>
      </c>
      <c r="C25">
        <v>2018</v>
      </c>
      <c r="D25" t="s">
        <v>28</v>
      </c>
      <c r="E25" t="s">
        <v>37</v>
      </c>
      <c r="F25" t="s">
        <v>46</v>
      </c>
      <c r="G25">
        <v>3</v>
      </c>
      <c r="H25">
        <v>23</v>
      </c>
    </row>
    <row r="26" spans="2:8" x14ac:dyDescent="0.25">
      <c r="B26" t="str">
        <f t="shared" si="0"/>
        <v>19FEPl</v>
      </c>
      <c r="C26">
        <v>2019</v>
      </c>
      <c r="D26" t="s">
        <v>28</v>
      </c>
      <c r="E26" t="s">
        <v>37</v>
      </c>
      <c r="F26" t="s">
        <v>46</v>
      </c>
      <c r="G26">
        <v>3</v>
      </c>
      <c r="H26">
        <v>24</v>
      </c>
    </row>
    <row r="27" spans="2:8" x14ac:dyDescent="0.25">
      <c r="B27" t="str">
        <f t="shared" si="0"/>
        <v>20FEPl</v>
      </c>
      <c r="C27">
        <v>2020</v>
      </c>
      <c r="D27" t="s">
        <v>28</v>
      </c>
      <c r="E27" t="s">
        <v>37</v>
      </c>
      <c r="F27" t="s">
        <v>46</v>
      </c>
      <c r="G27">
        <v>3</v>
      </c>
      <c r="H27">
        <v>24</v>
      </c>
    </row>
    <row r="28" spans="2:8" x14ac:dyDescent="0.25">
      <c r="B28" t="str">
        <f t="shared" si="0"/>
        <v>21FEPl</v>
      </c>
      <c r="C28">
        <v>2021</v>
      </c>
      <c r="D28" t="s">
        <v>28</v>
      </c>
      <c r="E28" t="s">
        <v>37</v>
      </c>
      <c r="F28" t="s">
        <v>46</v>
      </c>
      <c r="G28">
        <v>3</v>
      </c>
      <c r="H28">
        <v>24</v>
      </c>
    </row>
    <row r="29" spans="2:8" x14ac:dyDescent="0.25">
      <c r="B29" t="str">
        <f t="shared" si="0"/>
        <v>22FEPl</v>
      </c>
      <c r="C29">
        <v>2022</v>
      </c>
      <c r="D29" t="s">
        <v>28</v>
      </c>
      <c r="E29" t="s">
        <v>37</v>
      </c>
      <c r="F29" t="s">
        <v>46</v>
      </c>
      <c r="G29">
        <v>3</v>
      </c>
      <c r="H29">
        <v>25</v>
      </c>
    </row>
    <row r="30" spans="2:8" x14ac:dyDescent="0.25">
      <c r="B30" t="str">
        <f t="shared" si="0"/>
        <v>23FEPl</v>
      </c>
      <c r="C30">
        <v>2023</v>
      </c>
      <c r="D30" t="s">
        <v>28</v>
      </c>
      <c r="E30" t="s">
        <v>37</v>
      </c>
      <c r="F30" t="s">
        <v>46</v>
      </c>
      <c r="G30">
        <v>3</v>
      </c>
      <c r="H30">
        <v>25</v>
      </c>
    </row>
    <row r="31" spans="2:8" x14ac:dyDescent="0.25">
      <c r="B31" t="str">
        <f t="shared" si="0"/>
        <v>24FEPl</v>
      </c>
      <c r="C31">
        <v>2024</v>
      </c>
      <c r="D31" t="s">
        <v>28</v>
      </c>
      <c r="E31" t="s">
        <v>37</v>
      </c>
      <c r="F31" t="s">
        <v>46</v>
      </c>
      <c r="G31">
        <v>3</v>
      </c>
      <c r="H31">
        <v>25</v>
      </c>
    </row>
    <row r="32" spans="2:8" x14ac:dyDescent="0.25">
      <c r="B32" t="str">
        <f t="shared" si="0"/>
        <v>25FEPl</v>
      </c>
      <c r="C32">
        <v>2025</v>
      </c>
      <c r="D32" t="s">
        <v>28</v>
      </c>
      <c r="E32" t="s">
        <v>37</v>
      </c>
      <c r="F32" t="s">
        <v>46</v>
      </c>
      <c r="G32">
        <v>3</v>
      </c>
      <c r="H32">
        <v>25</v>
      </c>
    </row>
    <row r="33" spans="2:8" x14ac:dyDescent="0.25">
      <c r="B33" t="str">
        <f t="shared" si="0"/>
        <v>16FFXL</v>
      </c>
      <c r="C33">
        <v>2016</v>
      </c>
      <c r="D33" t="s">
        <v>28</v>
      </c>
      <c r="E33" t="s">
        <v>38</v>
      </c>
      <c r="F33" t="s">
        <v>47</v>
      </c>
      <c r="G33">
        <v>1</v>
      </c>
      <c r="H33">
        <v>18</v>
      </c>
    </row>
    <row r="34" spans="2:8" x14ac:dyDescent="0.25">
      <c r="B34" t="str">
        <f t="shared" si="0"/>
        <v>17FFXL</v>
      </c>
      <c r="C34">
        <v>2017</v>
      </c>
      <c r="D34" t="s">
        <v>28</v>
      </c>
      <c r="E34" t="s">
        <v>38</v>
      </c>
      <c r="F34" t="s">
        <v>47</v>
      </c>
      <c r="G34">
        <v>1</v>
      </c>
      <c r="H34">
        <v>18</v>
      </c>
    </row>
    <row r="35" spans="2:8" x14ac:dyDescent="0.25">
      <c r="B35" t="str">
        <f t="shared" si="0"/>
        <v>18FFXL</v>
      </c>
      <c r="C35">
        <v>2018</v>
      </c>
      <c r="D35" t="s">
        <v>28</v>
      </c>
      <c r="E35" t="s">
        <v>38</v>
      </c>
      <c r="F35" t="s">
        <v>47</v>
      </c>
      <c r="G35">
        <v>1</v>
      </c>
      <c r="H35">
        <v>18</v>
      </c>
    </row>
    <row r="36" spans="2:8" x14ac:dyDescent="0.25">
      <c r="B36" t="str">
        <f t="shared" si="0"/>
        <v>19FFXL</v>
      </c>
      <c r="C36">
        <v>2019</v>
      </c>
      <c r="D36" t="s">
        <v>28</v>
      </c>
      <c r="E36" t="s">
        <v>38</v>
      </c>
      <c r="F36" t="s">
        <v>47</v>
      </c>
      <c r="G36">
        <v>1</v>
      </c>
      <c r="H36">
        <v>19</v>
      </c>
    </row>
    <row r="37" spans="2:8" x14ac:dyDescent="0.25">
      <c r="B37" t="str">
        <f t="shared" si="0"/>
        <v>20FFXL</v>
      </c>
      <c r="C37">
        <v>2020</v>
      </c>
      <c r="D37" t="s">
        <v>28</v>
      </c>
      <c r="E37" t="s">
        <v>38</v>
      </c>
      <c r="F37" t="s">
        <v>47</v>
      </c>
      <c r="G37">
        <v>1</v>
      </c>
      <c r="H37">
        <v>19</v>
      </c>
    </row>
    <row r="38" spans="2:8" x14ac:dyDescent="0.25">
      <c r="B38" t="str">
        <f t="shared" si="0"/>
        <v>21FFXL</v>
      </c>
      <c r="C38">
        <v>2021</v>
      </c>
      <c r="D38" t="s">
        <v>28</v>
      </c>
      <c r="E38" t="s">
        <v>38</v>
      </c>
      <c r="F38" t="s">
        <v>47</v>
      </c>
      <c r="G38">
        <v>1</v>
      </c>
      <c r="H38">
        <v>19</v>
      </c>
    </row>
    <row r="39" spans="2:8" x14ac:dyDescent="0.25">
      <c r="B39" t="str">
        <f t="shared" si="0"/>
        <v>22FFXL</v>
      </c>
      <c r="C39">
        <v>2022</v>
      </c>
      <c r="D39" t="s">
        <v>28</v>
      </c>
      <c r="E39" t="s">
        <v>38</v>
      </c>
      <c r="F39" t="s">
        <v>47</v>
      </c>
      <c r="G39">
        <v>1</v>
      </c>
      <c r="H39">
        <v>20</v>
      </c>
    </row>
    <row r="40" spans="2:8" x14ac:dyDescent="0.25">
      <c r="B40" t="str">
        <f t="shared" si="0"/>
        <v>23FFXL</v>
      </c>
      <c r="C40">
        <v>2023</v>
      </c>
      <c r="D40" t="s">
        <v>28</v>
      </c>
      <c r="E40" t="s">
        <v>38</v>
      </c>
      <c r="F40" t="s">
        <v>47</v>
      </c>
      <c r="G40">
        <v>1</v>
      </c>
      <c r="H40">
        <v>20</v>
      </c>
    </row>
    <row r="41" spans="2:8" x14ac:dyDescent="0.25">
      <c r="B41" t="str">
        <f t="shared" si="0"/>
        <v>24FFXL</v>
      </c>
      <c r="C41">
        <v>2024</v>
      </c>
      <c r="D41" t="s">
        <v>28</v>
      </c>
      <c r="E41" t="s">
        <v>38</v>
      </c>
      <c r="F41" t="s">
        <v>47</v>
      </c>
      <c r="G41">
        <v>1</v>
      </c>
      <c r="H41">
        <v>20</v>
      </c>
    </row>
    <row r="42" spans="2:8" x14ac:dyDescent="0.25">
      <c r="B42" t="str">
        <f t="shared" si="0"/>
        <v>25FFXL</v>
      </c>
      <c r="C42">
        <v>2025</v>
      </c>
      <c r="D42" t="s">
        <v>28</v>
      </c>
      <c r="E42" t="s">
        <v>38</v>
      </c>
      <c r="F42" t="s">
        <v>47</v>
      </c>
      <c r="G42">
        <v>1</v>
      </c>
      <c r="H42">
        <v>20</v>
      </c>
    </row>
    <row r="43" spans="2:8" x14ac:dyDescent="0.25">
      <c r="B43" t="str">
        <f t="shared" si="0"/>
        <v>16FFXL</v>
      </c>
      <c r="C43">
        <v>2016</v>
      </c>
      <c r="D43" t="s">
        <v>28</v>
      </c>
      <c r="E43" t="s">
        <v>38</v>
      </c>
      <c r="F43" t="s">
        <v>48</v>
      </c>
      <c r="G43">
        <v>2</v>
      </c>
      <c r="H43">
        <v>19</v>
      </c>
    </row>
    <row r="44" spans="2:8" x14ac:dyDescent="0.25">
      <c r="B44" t="str">
        <f t="shared" si="0"/>
        <v>17FFXL</v>
      </c>
      <c r="C44">
        <v>2017</v>
      </c>
      <c r="D44" t="s">
        <v>28</v>
      </c>
      <c r="E44" t="s">
        <v>38</v>
      </c>
      <c r="F44" t="s">
        <v>48</v>
      </c>
      <c r="G44">
        <v>2</v>
      </c>
      <c r="H44">
        <v>19</v>
      </c>
    </row>
    <row r="45" spans="2:8" x14ac:dyDescent="0.25">
      <c r="B45" t="str">
        <f t="shared" si="0"/>
        <v>18FFXL</v>
      </c>
      <c r="C45">
        <v>2018</v>
      </c>
      <c r="D45" t="s">
        <v>28</v>
      </c>
      <c r="E45" t="s">
        <v>38</v>
      </c>
      <c r="F45" t="s">
        <v>48</v>
      </c>
      <c r="G45">
        <v>2</v>
      </c>
      <c r="H45">
        <v>19</v>
      </c>
    </row>
    <row r="46" spans="2:8" x14ac:dyDescent="0.25">
      <c r="B46" t="str">
        <f t="shared" si="0"/>
        <v>19FFXL</v>
      </c>
      <c r="C46">
        <v>2019</v>
      </c>
      <c r="D46" t="s">
        <v>28</v>
      </c>
      <c r="E46" t="s">
        <v>38</v>
      </c>
      <c r="F46" t="s">
        <v>48</v>
      </c>
      <c r="G46">
        <v>2</v>
      </c>
      <c r="H46">
        <v>20</v>
      </c>
    </row>
    <row r="47" spans="2:8" x14ac:dyDescent="0.25">
      <c r="B47" t="str">
        <f t="shared" si="0"/>
        <v>20FFXL</v>
      </c>
      <c r="C47">
        <v>2020</v>
      </c>
      <c r="D47" t="s">
        <v>28</v>
      </c>
      <c r="E47" t="s">
        <v>38</v>
      </c>
      <c r="F47" t="s">
        <v>48</v>
      </c>
      <c r="G47">
        <v>2</v>
      </c>
      <c r="H47">
        <v>20</v>
      </c>
    </row>
    <row r="48" spans="2:8" x14ac:dyDescent="0.25">
      <c r="B48" t="str">
        <f t="shared" si="0"/>
        <v>21FFXL</v>
      </c>
      <c r="C48">
        <v>2021</v>
      </c>
      <c r="D48" t="s">
        <v>28</v>
      </c>
      <c r="E48" t="s">
        <v>38</v>
      </c>
      <c r="F48" t="s">
        <v>48</v>
      </c>
      <c r="G48">
        <v>2</v>
      </c>
      <c r="H48">
        <v>20</v>
      </c>
    </row>
    <row r="49" spans="2:8" x14ac:dyDescent="0.25">
      <c r="B49" t="str">
        <f t="shared" si="0"/>
        <v>22FFXL</v>
      </c>
      <c r="C49">
        <v>2022</v>
      </c>
      <c r="D49" t="s">
        <v>28</v>
      </c>
      <c r="E49" t="s">
        <v>38</v>
      </c>
      <c r="F49" t="s">
        <v>48</v>
      </c>
      <c r="G49">
        <v>2</v>
      </c>
      <c r="H49">
        <v>21</v>
      </c>
    </row>
    <row r="50" spans="2:8" x14ac:dyDescent="0.25">
      <c r="B50" t="str">
        <f t="shared" si="0"/>
        <v>23FFXL</v>
      </c>
      <c r="C50">
        <v>2023</v>
      </c>
      <c r="D50" t="s">
        <v>28</v>
      </c>
      <c r="E50" t="s">
        <v>38</v>
      </c>
      <c r="F50" t="s">
        <v>48</v>
      </c>
      <c r="G50">
        <v>2</v>
      </c>
      <c r="H50">
        <v>21</v>
      </c>
    </row>
    <row r="51" spans="2:8" x14ac:dyDescent="0.25">
      <c r="B51" t="str">
        <f t="shared" si="0"/>
        <v>24FFXL</v>
      </c>
      <c r="C51">
        <v>2024</v>
      </c>
      <c r="D51" t="s">
        <v>28</v>
      </c>
      <c r="E51" t="s">
        <v>38</v>
      </c>
      <c r="F51" t="s">
        <v>48</v>
      </c>
      <c r="G51">
        <v>2</v>
      </c>
      <c r="H51">
        <v>21</v>
      </c>
    </row>
    <row r="52" spans="2:8" x14ac:dyDescent="0.25">
      <c r="B52" t="str">
        <f t="shared" si="0"/>
        <v>25FFXL</v>
      </c>
      <c r="C52">
        <v>2025</v>
      </c>
      <c r="D52" t="s">
        <v>28</v>
      </c>
      <c r="E52" t="s">
        <v>38</v>
      </c>
      <c r="F52" t="s">
        <v>48</v>
      </c>
      <c r="G52">
        <v>2</v>
      </c>
      <c r="H52">
        <v>21</v>
      </c>
    </row>
    <row r="53" spans="2:8" x14ac:dyDescent="0.25">
      <c r="B53" t="str">
        <f t="shared" si="0"/>
        <v>16FFLa</v>
      </c>
      <c r="C53">
        <v>2016</v>
      </c>
      <c r="D53" t="s">
        <v>28</v>
      </c>
      <c r="E53" t="s">
        <v>38</v>
      </c>
      <c r="F53" t="s">
        <v>49</v>
      </c>
      <c r="G53">
        <v>3</v>
      </c>
      <c r="H53">
        <v>20</v>
      </c>
    </row>
    <row r="54" spans="2:8" x14ac:dyDescent="0.25">
      <c r="B54" t="str">
        <f t="shared" si="0"/>
        <v>17FFLa</v>
      </c>
      <c r="C54">
        <v>2017</v>
      </c>
      <c r="D54" t="s">
        <v>28</v>
      </c>
      <c r="E54" t="s">
        <v>38</v>
      </c>
      <c r="F54" t="s">
        <v>49</v>
      </c>
      <c r="G54">
        <v>3</v>
      </c>
      <c r="H54">
        <v>20</v>
      </c>
    </row>
    <row r="55" spans="2:8" x14ac:dyDescent="0.25">
      <c r="B55" t="str">
        <f t="shared" si="0"/>
        <v>18FFLa</v>
      </c>
      <c r="C55">
        <v>2018</v>
      </c>
      <c r="D55" t="s">
        <v>28</v>
      </c>
      <c r="E55" t="s">
        <v>38</v>
      </c>
      <c r="F55" t="s">
        <v>49</v>
      </c>
      <c r="G55">
        <v>3</v>
      </c>
      <c r="H55">
        <v>20</v>
      </c>
    </row>
    <row r="56" spans="2:8" x14ac:dyDescent="0.25">
      <c r="B56" t="str">
        <f t="shared" si="0"/>
        <v>19FFLa</v>
      </c>
      <c r="C56">
        <v>2019</v>
      </c>
      <c r="D56" t="s">
        <v>28</v>
      </c>
      <c r="E56" t="s">
        <v>38</v>
      </c>
      <c r="F56" t="s">
        <v>49</v>
      </c>
      <c r="G56">
        <v>3</v>
      </c>
      <c r="H56">
        <v>21</v>
      </c>
    </row>
    <row r="57" spans="2:8" x14ac:dyDescent="0.25">
      <c r="B57" t="str">
        <f t="shared" si="0"/>
        <v>20FFLa</v>
      </c>
      <c r="C57">
        <v>2020</v>
      </c>
      <c r="D57" t="s">
        <v>28</v>
      </c>
      <c r="E57" t="s">
        <v>38</v>
      </c>
      <c r="F57" t="s">
        <v>49</v>
      </c>
      <c r="G57">
        <v>3</v>
      </c>
      <c r="H57">
        <v>21</v>
      </c>
    </row>
    <row r="58" spans="2:8" x14ac:dyDescent="0.25">
      <c r="B58" t="str">
        <f t="shared" si="0"/>
        <v>21FFLa</v>
      </c>
      <c r="C58">
        <v>2021</v>
      </c>
      <c r="D58" t="s">
        <v>28</v>
      </c>
      <c r="E58" t="s">
        <v>38</v>
      </c>
      <c r="F58" t="s">
        <v>49</v>
      </c>
      <c r="G58">
        <v>3</v>
      </c>
      <c r="H58">
        <v>21</v>
      </c>
    </row>
    <row r="59" spans="2:8" x14ac:dyDescent="0.25">
      <c r="B59" t="str">
        <f t="shared" si="0"/>
        <v>22FFLa</v>
      </c>
      <c r="C59">
        <v>2022</v>
      </c>
      <c r="D59" t="s">
        <v>28</v>
      </c>
      <c r="E59" t="s">
        <v>38</v>
      </c>
      <c r="F59" t="s">
        <v>49</v>
      </c>
      <c r="G59">
        <v>3</v>
      </c>
      <c r="H59">
        <v>22</v>
      </c>
    </row>
    <row r="60" spans="2:8" x14ac:dyDescent="0.25">
      <c r="B60" t="str">
        <f t="shared" si="0"/>
        <v>23FFLa</v>
      </c>
      <c r="C60">
        <v>2023</v>
      </c>
      <c r="D60" t="s">
        <v>28</v>
      </c>
      <c r="E60" t="s">
        <v>38</v>
      </c>
      <c r="F60" t="s">
        <v>49</v>
      </c>
      <c r="G60">
        <v>3</v>
      </c>
      <c r="H60">
        <v>22</v>
      </c>
    </row>
    <row r="61" spans="2:8" x14ac:dyDescent="0.25">
      <c r="B61" t="str">
        <f t="shared" si="0"/>
        <v>24FFLa</v>
      </c>
      <c r="C61">
        <v>2024</v>
      </c>
      <c r="D61" t="s">
        <v>28</v>
      </c>
      <c r="E61" t="s">
        <v>38</v>
      </c>
      <c r="F61" t="s">
        <v>49</v>
      </c>
      <c r="G61">
        <v>3</v>
      </c>
      <c r="H61">
        <v>22</v>
      </c>
    </row>
    <row r="62" spans="2:8" x14ac:dyDescent="0.25">
      <c r="B62" t="str">
        <f t="shared" si="0"/>
        <v>25FFLa</v>
      </c>
      <c r="C62">
        <v>2025</v>
      </c>
      <c r="D62" t="s">
        <v>28</v>
      </c>
      <c r="E62" t="s">
        <v>38</v>
      </c>
      <c r="F62" t="s">
        <v>49</v>
      </c>
      <c r="G62">
        <v>3</v>
      </c>
      <c r="H62">
        <v>22</v>
      </c>
    </row>
    <row r="63" spans="2:8" x14ac:dyDescent="0.25">
      <c r="B63" t="str">
        <f t="shared" si="0"/>
        <v>16FFLi</v>
      </c>
      <c r="C63">
        <v>2016</v>
      </c>
      <c r="D63" t="s">
        <v>28</v>
      </c>
      <c r="E63" t="s">
        <v>38</v>
      </c>
      <c r="F63" t="s">
        <v>50</v>
      </c>
      <c r="G63">
        <v>4</v>
      </c>
      <c r="H63">
        <v>21</v>
      </c>
    </row>
    <row r="64" spans="2:8" x14ac:dyDescent="0.25">
      <c r="B64" t="str">
        <f t="shared" si="0"/>
        <v>17FFLi</v>
      </c>
      <c r="C64">
        <v>2017</v>
      </c>
      <c r="D64" t="s">
        <v>28</v>
      </c>
      <c r="E64" t="s">
        <v>38</v>
      </c>
      <c r="F64" t="s">
        <v>50</v>
      </c>
      <c r="G64">
        <v>4</v>
      </c>
      <c r="H64">
        <v>21</v>
      </c>
    </row>
    <row r="65" spans="2:8" x14ac:dyDescent="0.25">
      <c r="B65" t="str">
        <f t="shared" si="0"/>
        <v>18FFLi</v>
      </c>
      <c r="C65">
        <v>2018</v>
      </c>
      <c r="D65" t="s">
        <v>28</v>
      </c>
      <c r="E65" t="s">
        <v>38</v>
      </c>
      <c r="F65" t="s">
        <v>50</v>
      </c>
      <c r="G65">
        <v>4</v>
      </c>
      <c r="H65">
        <v>21</v>
      </c>
    </row>
    <row r="66" spans="2:8" x14ac:dyDescent="0.25">
      <c r="B66" t="str">
        <f t="shared" si="0"/>
        <v>19FFLi</v>
      </c>
      <c r="C66">
        <v>2019</v>
      </c>
      <c r="D66" t="s">
        <v>28</v>
      </c>
      <c r="E66" t="s">
        <v>38</v>
      </c>
      <c r="F66" t="s">
        <v>50</v>
      </c>
      <c r="G66">
        <v>4</v>
      </c>
      <c r="H66">
        <v>22</v>
      </c>
    </row>
    <row r="67" spans="2:8" x14ac:dyDescent="0.25">
      <c r="B67" t="str">
        <f t="shared" si="0"/>
        <v>20FFLi</v>
      </c>
      <c r="C67">
        <v>2020</v>
      </c>
      <c r="D67" t="s">
        <v>28</v>
      </c>
      <c r="E67" t="s">
        <v>38</v>
      </c>
      <c r="F67" t="s">
        <v>50</v>
      </c>
      <c r="G67">
        <v>4</v>
      </c>
      <c r="H67">
        <v>22</v>
      </c>
    </row>
    <row r="68" spans="2:8" x14ac:dyDescent="0.25">
      <c r="B68" t="str">
        <f t="shared" ref="B68:B131" si="1">_xlfn.CONCAT(RIGHT(C68,2),LEFT(D68,1),LEFT(E68,1),LEFT(F68, 2))</f>
        <v>21FFLi</v>
      </c>
      <c r="C68">
        <v>2021</v>
      </c>
      <c r="D68" t="s">
        <v>28</v>
      </c>
      <c r="E68" t="s">
        <v>38</v>
      </c>
      <c r="F68" t="s">
        <v>50</v>
      </c>
      <c r="G68">
        <v>4</v>
      </c>
      <c r="H68">
        <v>22</v>
      </c>
    </row>
    <row r="69" spans="2:8" x14ac:dyDescent="0.25">
      <c r="B69" t="str">
        <f t="shared" si="1"/>
        <v>22FFLi</v>
      </c>
      <c r="C69">
        <v>2022</v>
      </c>
      <c r="D69" t="s">
        <v>28</v>
      </c>
      <c r="E69" t="s">
        <v>38</v>
      </c>
      <c r="F69" t="s">
        <v>50</v>
      </c>
      <c r="G69">
        <v>4</v>
      </c>
      <c r="H69">
        <v>23</v>
      </c>
    </row>
    <row r="70" spans="2:8" x14ac:dyDescent="0.25">
      <c r="B70" t="str">
        <f t="shared" si="1"/>
        <v>23FFLi</v>
      </c>
      <c r="C70">
        <v>2023</v>
      </c>
      <c r="D70" t="s">
        <v>28</v>
      </c>
      <c r="E70" t="s">
        <v>38</v>
      </c>
      <c r="F70" t="s">
        <v>50</v>
      </c>
      <c r="G70">
        <v>4</v>
      </c>
      <c r="H70">
        <v>23</v>
      </c>
    </row>
    <row r="71" spans="2:8" x14ac:dyDescent="0.25">
      <c r="B71" t="str">
        <f t="shared" si="1"/>
        <v>24FFLi</v>
      </c>
      <c r="C71">
        <v>2024</v>
      </c>
      <c r="D71" t="s">
        <v>28</v>
      </c>
      <c r="E71" t="s">
        <v>38</v>
      </c>
      <c r="F71" t="s">
        <v>50</v>
      </c>
      <c r="G71">
        <v>4</v>
      </c>
      <c r="H71">
        <v>23</v>
      </c>
    </row>
    <row r="72" spans="2:8" x14ac:dyDescent="0.25">
      <c r="B72" t="str">
        <f t="shared" si="1"/>
        <v>25FFLi</v>
      </c>
      <c r="C72">
        <v>2025</v>
      </c>
      <c r="D72" t="s">
        <v>28</v>
      </c>
      <c r="E72" t="s">
        <v>38</v>
      </c>
      <c r="F72" t="s">
        <v>50</v>
      </c>
      <c r="G72">
        <v>4</v>
      </c>
      <c r="H72">
        <v>23</v>
      </c>
    </row>
    <row r="73" spans="2:8" x14ac:dyDescent="0.25">
      <c r="B73" t="str">
        <f t="shared" si="1"/>
        <v>16FMEc</v>
      </c>
      <c r="C73">
        <v>2016</v>
      </c>
      <c r="D73" t="s">
        <v>28</v>
      </c>
      <c r="E73" t="s">
        <v>36</v>
      </c>
      <c r="F73" t="s">
        <v>42</v>
      </c>
      <c r="G73">
        <v>1</v>
      </c>
      <c r="H73">
        <v>24</v>
      </c>
    </row>
    <row r="74" spans="2:8" x14ac:dyDescent="0.25">
      <c r="B74" t="str">
        <f t="shared" si="1"/>
        <v>17FMEc</v>
      </c>
      <c r="C74">
        <v>2017</v>
      </c>
      <c r="D74" t="s">
        <v>28</v>
      </c>
      <c r="E74" t="s">
        <v>36</v>
      </c>
      <c r="F74" t="s">
        <v>42</v>
      </c>
      <c r="G74">
        <v>1</v>
      </c>
      <c r="H74">
        <v>24</v>
      </c>
    </row>
    <row r="75" spans="2:8" x14ac:dyDescent="0.25">
      <c r="B75" t="str">
        <f t="shared" si="1"/>
        <v>18FMEc</v>
      </c>
      <c r="C75">
        <v>2018</v>
      </c>
      <c r="D75" t="s">
        <v>28</v>
      </c>
      <c r="E75" t="s">
        <v>36</v>
      </c>
      <c r="F75" t="s">
        <v>42</v>
      </c>
      <c r="G75">
        <v>1</v>
      </c>
      <c r="H75">
        <v>24</v>
      </c>
    </row>
    <row r="76" spans="2:8" x14ac:dyDescent="0.25">
      <c r="B76" t="str">
        <f t="shared" si="1"/>
        <v>19FMEc</v>
      </c>
      <c r="C76">
        <v>2019</v>
      </c>
      <c r="D76" t="s">
        <v>28</v>
      </c>
      <c r="E76" t="s">
        <v>36</v>
      </c>
      <c r="F76" t="s">
        <v>42</v>
      </c>
      <c r="G76">
        <v>1</v>
      </c>
      <c r="H76">
        <v>25</v>
      </c>
    </row>
    <row r="77" spans="2:8" x14ac:dyDescent="0.25">
      <c r="B77" t="str">
        <f t="shared" si="1"/>
        <v>20FMEc</v>
      </c>
      <c r="C77">
        <v>2020</v>
      </c>
      <c r="D77" t="s">
        <v>28</v>
      </c>
      <c r="E77" t="s">
        <v>36</v>
      </c>
      <c r="F77" t="s">
        <v>42</v>
      </c>
      <c r="G77">
        <v>1</v>
      </c>
      <c r="H77">
        <v>25</v>
      </c>
    </row>
    <row r="78" spans="2:8" x14ac:dyDescent="0.25">
      <c r="B78" t="str">
        <f t="shared" si="1"/>
        <v>21FMEc</v>
      </c>
      <c r="C78">
        <v>2021</v>
      </c>
      <c r="D78" t="s">
        <v>28</v>
      </c>
      <c r="E78" t="s">
        <v>36</v>
      </c>
      <c r="F78" t="s">
        <v>42</v>
      </c>
      <c r="G78">
        <v>1</v>
      </c>
      <c r="H78">
        <v>25</v>
      </c>
    </row>
    <row r="79" spans="2:8" x14ac:dyDescent="0.25">
      <c r="B79" t="str">
        <f t="shared" si="1"/>
        <v>22FMEc</v>
      </c>
      <c r="C79">
        <v>2022</v>
      </c>
      <c r="D79" t="s">
        <v>28</v>
      </c>
      <c r="E79" t="s">
        <v>36</v>
      </c>
      <c r="F79" t="s">
        <v>42</v>
      </c>
      <c r="G79">
        <v>1</v>
      </c>
      <c r="H79">
        <v>26</v>
      </c>
    </row>
    <row r="80" spans="2:8" x14ac:dyDescent="0.25">
      <c r="B80" t="str">
        <f t="shared" si="1"/>
        <v>23FMEc</v>
      </c>
      <c r="C80">
        <v>2023</v>
      </c>
      <c r="D80" t="s">
        <v>28</v>
      </c>
      <c r="E80" t="s">
        <v>36</v>
      </c>
      <c r="F80" t="s">
        <v>42</v>
      </c>
      <c r="G80">
        <v>1</v>
      </c>
      <c r="H80">
        <v>26</v>
      </c>
    </row>
    <row r="81" spans="2:8" x14ac:dyDescent="0.25">
      <c r="B81" t="str">
        <f t="shared" si="1"/>
        <v>24FMEc</v>
      </c>
      <c r="C81">
        <v>2024</v>
      </c>
      <c r="D81" t="s">
        <v>28</v>
      </c>
      <c r="E81" t="s">
        <v>36</v>
      </c>
      <c r="F81" t="s">
        <v>42</v>
      </c>
      <c r="G81">
        <v>1</v>
      </c>
      <c r="H81">
        <v>26</v>
      </c>
    </row>
    <row r="82" spans="2:8" x14ac:dyDescent="0.25">
      <c r="B82" t="str">
        <f t="shared" si="1"/>
        <v>25FMEc</v>
      </c>
      <c r="C82">
        <v>2025</v>
      </c>
      <c r="D82" t="s">
        <v>28</v>
      </c>
      <c r="E82" t="s">
        <v>36</v>
      </c>
      <c r="F82" t="s">
        <v>42</v>
      </c>
      <c r="G82">
        <v>1</v>
      </c>
      <c r="H82">
        <v>26</v>
      </c>
    </row>
    <row r="83" spans="2:8" x14ac:dyDescent="0.25">
      <c r="B83" t="str">
        <f t="shared" si="1"/>
        <v>16FMGT</v>
      </c>
      <c r="C83">
        <v>2016</v>
      </c>
      <c r="D83" t="s">
        <v>28</v>
      </c>
      <c r="E83" t="s">
        <v>36</v>
      </c>
      <c r="F83" t="s">
        <v>43</v>
      </c>
      <c r="G83">
        <v>2</v>
      </c>
      <c r="H83">
        <v>25</v>
      </c>
    </row>
    <row r="84" spans="2:8" x14ac:dyDescent="0.25">
      <c r="B84" t="str">
        <f t="shared" si="1"/>
        <v>17FMGT</v>
      </c>
      <c r="C84">
        <v>2017</v>
      </c>
      <c r="D84" t="s">
        <v>28</v>
      </c>
      <c r="E84" t="s">
        <v>36</v>
      </c>
      <c r="F84" t="s">
        <v>43</v>
      </c>
      <c r="G84">
        <v>2</v>
      </c>
      <c r="H84">
        <v>25</v>
      </c>
    </row>
    <row r="85" spans="2:8" x14ac:dyDescent="0.25">
      <c r="B85" t="str">
        <f t="shared" si="1"/>
        <v>18FMGT</v>
      </c>
      <c r="C85">
        <v>2018</v>
      </c>
      <c r="D85" t="s">
        <v>28</v>
      </c>
      <c r="E85" t="s">
        <v>36</v>
      </c>
      <c r="F85" t="s">
        <v>43</v>
      </c>
      <c r="G85">
        <v>2</v>
      </c>
      <c r="H85">
        <v>25</v>
      </c>
    </row>
    <row r="86" spans="2:8" x14ac:dyDescent="0.25">
      <c r="B86" t="str">
        <f t="shared" si="1"/>
        <v>19FMGT</v>
      </c>
      <c r="C86">
        <v>2019</v>
      </c>
      <c r="D86" t="s">
        <v>28</v>
      </c>
      <c r="E86" t="s">
        <v>36</v>
      </c>
      <c r="F86" t="s">
        <v>43</v>
      </c>
      <c r="G86">
        <v>2</v>
      </c>
      <c r="H86">
        <v>26</v>
      </c>
    </row>
    <row r="87" spans="2:8" x14ac:dyDescent="0.25">
      <c r="B87" t="str">
        <f t="shared" si="1"/>
        <v>20FMGT</v>
      </c>
      <c r="C87">
        <v>2020</v>
      </c>
      <c r="D87" t="s">
        <v>28</v>
      </c>
      <c r="E87" t="s">
        <v>36</v>
      </c>
      <c r="F87" t="s">
        <v>43</v>
      </c>
      <c r="G87">
        <v>2</v>
      </c>
      <c r="H87">
        <v>26</v>
      </c>
    </row>
    <row r="88" spans="2:8" x14ac:dyDescent="0.25">
      <c r="B88" t="str">
        <f t="shared" si="1"/>
        <v>21FMGT</v>
      </c>
      <c r="C88">
        <v>2021</v>
      </c>
      <c r="D88" t="s">
        <v>28</v>
      </c>
      <c r="E88" t="s">
        <v>36</v>
      </c>
      <c r="F88" t="s">
        <v>43</v>
      </c>
      <c r="G88">
        <v>2</v>
      </c>
      <c r="H88">
        <v>26</v>
      </c>
    </row>
    <row r="89" spans="2:8" x14ac:dyDescent="0.25">
      <c r="B89" t="str">
        <f t="shared" si="1"/>
        <v>22FMGT</v>
      </c>
      <c r="C89">
        <v>2022</v>
      </c>
      <c r="D89" t="s">
        <v>28</v>
      </c>
      <c r="E89" t="s">
        <v>36</v>
      </c>
      <c r="F89" t="s">
        <v>43</v>
      </c>
      <c r="G89">
        <v>2</v>
      </c>
      <c r="H89">
        <v>27</v>
      </c>
    </row>
    <row r="90" spans="2:8" x14ac:dyDescent="0.25">
      <c r="B90" t="str">
        <f t="shared" si="1"/>
        <v>23FMGT</v>
      </c>
      <c r="C90">
        <v>2023</v>
      </c>
      <c r="D90" t="s">
        <v>28</v>
      </c>
      <c r="E90" t="s">
        <v>36</v>
      </c>
      <c r="F90" t="s">
        <v>43</v>
      </c>
      <c r="G90">
        <v>2</v>
      </c>
      <c r="H90">
        <v>27</v>
      </c>
    </row>
    <row r="91" spans="2:8" x14ac:dyDescent="0.25">
      <c r="B91" t="str">
        <f t="shared" si="1"/>
        <v>24FMGT</v>
      </c>
      <c r="C91">
        <v>2024</v>
      </c>
      <c r="D91" t="s">
        <v>28</v>
      </c>
      <c r="E91" t="s">
        <v>36</v>
      </c>
      <c r="F91" t="s">
        <v>43</v>
      </c>
      <c r="G91">
        <v>2</v>
      </c>
      <c r="H91">
        <v>27</v>
      </c>
    </row>
    <row r="92" spans="2:8" x14ac:dyDescent="0.25">
      <c r="B92" t="str">
        <f t="shared" si="1"/>
        <v>25FMGT</v>
      </c>
      <c r="C92">
        <v>2025</v>
      </c>
      <c r="D92" t="s">
        <v>28</v>
      </c>
      <c r="E92" t="s">
        <v>36</v>
      </c>
      <c r="F92" t="s">
        <v>43</v>
      </c>
      <c r="G92">
        <v>2</v>
      </c>
      <c r="H92">
        <v>27</v>
      </c>
    </row>
    <row r="93" spans="2:8" x14ac:dyDescent="0.25">
      <c r="B93" t="str">
        <f t="shared" si="1"/>
        <v>16HALX</v>
      </c>
      <c r="C93">
        <v>2016</v>
      </c>
      <c r="D93" t="s">
        <v>26</v>
      </c>
      <c r="E93" t="s">
        <v>31</v>
      </c>
      <c r="F93" t="s">
        <v>51</v>
      </c>
      <c r="G93">
        <v>1</v>
      </c>
      <c r="H93">
        <v>18</v>
      </c>
    </row>
    <row r="94" spans="2:8" x14ac:dyDescent="0.25">
      <c r="B94" t="str">
        <f t="shared" si="1"/>
        <v>17HALX</v>
      </c>
      <c r="C94">
        <v>2017</v>
      </c>
      <c r="D94" t="s">
        <v>26</v>
      </c>
      <c r="E94" t="s">
        <v>31</v>
      </c>
      <c r="F94" t="s">
        <v>51</v>
      </c>
      <c r="G94">
        <v>1</v>
      </c>
      <c r="H94">
        <v>18</v>
      </c>
    </row>
    <row r="95" spans="2:8" x14ac:dyDescent="0.25">
      <c r="B95" t="str">
        <f t="shared" si="1"/>
        <v>18HALX</v>
      </c>
      <c r="C95">
        <v>2018</v>
      </c>
      <c r="D95" t="s">
        <v>26</v>
      </c>
      <c r="E95" t="s">
        <v>31</v>
      </c>
      <c r="F95" t="s">
        <v>51</v>
      </c>
      <c r="G95">
        <v>1</v>
      </c>
      <c r="H95">
        <v>18</v>
      </c>
    </row>
    <row r="96" spans="2:8" x14ac:dyDescent="0.25">
      <c r="B96" t="str">
        <f t="shared" si="1"/>
        <v>19HALX</v>
      </c>
      <c r="C96">
        <v>2019</v>
      </c>
      <c r="D96" t="s">
        <v>26</v>
      </c>
      <c r="E96" t="s">
        <v>31</v>
      </c>
      <c r="F96" t="s">
        <v>51</v>
      </c>
      <c r="G96">
        <v>1</v>
      </c>
      <c r="H96">
        <v>19</v>
      </c>
    </row>
    <row r="97" spans="2:8" x14ac:dyDescent="0.25">
      <c r="B97" t="str">
        <f t="shared" si="1"/>
        <v>20HALX</v>
      </c>
      <c r="C97">
        <v>2020</v>
      </c>
      <c r="D97" t="s">
        <v>26</v>
      </c>
      <c r="E97" t="s">
        <v>31</v>
      </c>
      <c r="F97" t="s">
        <v>51</v>
      </c>
      <c r="G97">
        <v>1</v>
      </c>
      <c r="H97">
        <v>19</v>
      </c>
    </row>
    <row r="98" spans="2:8" x14ac:dyDescent="0.25">
      <c r="B98" t="str">
        <f t="shared" si="1"/>
        <v>21HALX</v>
      </c>
      <c r="C98">
        <v>2021</v>
      </c>
      <c r="D98" t="s">
        <v>26</v>
      </c>
      <c r="E98" t="s">
        <v>31</v>
      </c>
      <c r="F98" t="s">
        <v>51</v>
      </c>
      <c r="G98">
        <v>1</v>
      </c>
      <c r="H98">
        <v>19</v>
      </c>
    </row>
    <row r="99" spans="2:8" x14ac:dyDescent="0.25">
      <c r="B99" t="str">
        <f t="shared" si="1"/>
        <v>22HALX</v>
      </c>
      <c r="C99">
        <v>2022</v>
      </c>
      <c r="D99" t="s">
        <v>26</v>
      </c>
      <c r="E99" t="s">
        <v>31</v>
      </c>
      <c r="F99" t="s">
        <v>51</v>
      </c>
      <c r="G99">
        <v>1</v>
      </c>
      <c r="H99">
        <v>20</v>
      </c>
    </row>
    <row r="100" spans="2:8" x14ac:dyDescent="0.25">
      <c r="B100" t="str">
        <f t="shared" si="1"/>
        <v>23HALX</v>
      </c>
      <c r="C100">
        <v>2023</v>
      </c>
      <c r="D100" t="s">
        <v>26</v>
      </c>
      <c r="E100" t="s">
        <v>31</v>
      </c>
      <c r="F100" t="s">
        <v>51</v>
      </c>
      <c r="G100">
        <v>1</v>
      </c>
      <c r="H100">
        <v>20</v>
      </c>
    </row>
    <row r="101" spans="2:8" x14ac:dyDescent="0.25">
      <c r="B101" t="str">
        <f t="shared" si="1"/>
        <v>24HALX</v>
      </c>
      <c r="C101">
        <v>2024</v>
      </c>
      <c r="D101" t="s">
        <v>26</v>
      </c>
      <c r="E101" t="s">
        <v>31</v>
      </c>
      <c r="F101" t="s">
        <v>51</v>
      </c>
      <c r="G101">
        <v>1</v>
      </c>
      <c r="H101">
        <v>20</v>
      </c>
    </row>
    <row r="102" spans="2:8" x14ac:dyDescent="0.25">
      <c r="B102" t="str">
        <f t="shared" si="1"/>
        <v>25HALX</v>
      </c>
      <c r="C102">
        <v>2025</v>
      </c>
      <c r="D102" t="s">
        <v>26</v>
      </c>
      <c r="E102" t="s">
        <v>31</v>
      </c>
      <c r="F102" t="s">
        <v>51</v>
      </c>
      <c r="G102">
        <v>1</v>
      </c>
      <c r="H102">
        <v>20</v>
      </c>
    </row>
    <row r="103" spans="2:8" x14ac:dyDescent="0.25">
      <c r="B103" t="str">
        <f t="shared" si="1"/>
        <v>16HASE</v>
      </c>
      <c r="C103">
        <v>2016</v>
      </c>
      <c r="D103" t="s">
        <v>26</v>
      </c>
      <c r="E103" t="s">
        <v>31</v>
      </c>
      <c r="F103" t="s">
        <v>52</v>
      </c>
      <c r="G103">
        <v>2</v>
      </c>
      <c r="H103">
        <v>19</v>
      </c>
    </row>
    <row r="104" spans="2:8" x14ac:dyDescent="0.25">
      <c r="B104" t="str">
        <f t="shared" si="1"/>
        <v>17HASE</v>
      </c>
      <c r="C104">
        <v>2017</v>
      </c>
      <c r="D104" t="s">
        <v>26</v>
      </c>
      <c r="E104" t="s">
        <v>31</v>
      </c>
      <c r="F104" t="s">
        <v>52</v>
      </c>
      <c r="G104">
        <v>2</v>
      </c>
      <c r="H104">
        <v>19</v>
      </c>
    </row>
    <row r="105" spans="2:8" x14ac:dyDescent="0.25">
      <c r="B105" t="str">
        <f t="shared" si="1"/>
        <v>18HASE</v>
      </c>
      <c r="C105">
        <v>2018</v>
      </c>
      <c r="D105" t="s">
        <v>26</v>
      </c>
      <c r="E105" t="s">
        <v>31</v>
      </c>
      <c r="F105" t="s">
        <v>52</v>
      </c>
      <c r="G105">
        <v>2</v>
      </c>
      <c r="H105">
        <v>19</v>
      </c>
    </row>
    <row r="106" spans="2:8" x14ac:dyDescent="0.25">
      <c r="B106" t="str">
        <f t="shared" si="1"/>
        <v>19HASE</v>
      </c>
      <c r="C106">
        <v>2019</v>
      </c>
      <c r="D106" t="s">
        <v>26</v>
      </c>
      <c r="E106" t="s">
        <v>31</v>
      </c>
      <c r="F106" t="s">
        <v>52</v>
      </c>
      <c r="G106">
        <v>2</v>
      </c>
      <c r="H106">
        <v>20</v>
      </c>
    </row>
    <row r="107" spans="2:8" x14ac:dyDescent="0.25">
      <c r="B107" t="str">
        <f t="shared" si="1"/>
        <v>20HASE</v>
      </c>
      <c r="C107">
        <v>2020</v>
      </c>
      <c r="D107" t="s">
        <v>26</v>
      </c>
      <c r="E107" t="s">
        <v>31</v>
      </c>
      <c r="F107" t="s">
        <v>52</v>
      </c>
      <c r="G107">
        <v>2</v>
      </c>
      <c r="H107">
        <v>20</v>
      </c>
    </row>
    <row r="108" spans="2:8" x14ac:dyDescent="0.25">
      <c r="B108" t="str">
        <f t="shared" si="1"/>
        <v>21HASE</v>
      </c>
      <c r="C108">
        <v>2021</v>
      </c>
      <c r="D108" t="s">
        <v>26</v>
      </c>
      <c r="E108" t="s">
        <v>31</v>
      </c>
      <c r="F108" t="s">
        <v>52</v>
      </c>
      <c r="G108">
        <v>2</v>
      </c>
      <c r="H108">
        <v>20</v>
      </c>
    </row>
    <row r="109" spans="2:8" x14ac:dyDescent="0.25">
      <c r="B109" t="str">
        <f t="shared" si="1"/>
        <v>22HASE</v>
      </c>
      <c r="C109">
        <v>2022</v>
      </c>
      <c r="D109" t="s">
        <v>26</v>
      </c>
      <c r="E109" t="s">
        <v>31</v>
      </c>
      <c r="F109" t="s">
        <v>52</v>
      </c>
      <c r="G109">
        <v>2</v>
      </c>
      <c r="H109">
        <v>21</v>
      </c>
    </row>
    <row r="110" spans="2:8" x14ac:dyDescent="0.25">
      <c r="B110" t="str">
        <f t="shared" si="1"/>
        <v>23HASE</v>
      </c>
      <c r="C110">
        <v>2023</v>
      </c>
      <c r="D110" t="s">
        <v>26</v>
      </c>
      <c r="E110" t="s">
        <v>31</v>
      </c>
      <c r="F110" t="s">
        <v>52</v>
      </c>
      <c r="G110">
        <v>2</v>
      </c>
      <c r="H110">
        <v>21</v>
      </c>
    </row>
    <row r="111" spans="2:8" x14ac:dyDescent="0.25">
      <c r="B111" t="str">
        <f t="shared" si="1"/>
        <v>24HASE</v>
      </c>
      <c r="C111">
        <v>2024</v>
      </c>
      <c r="D111" t="s">
        <v>26</v>
      </c>
      <c r="E111" t="s">
        <v>31</v>
      </c>
      <c r="F111" t="s">
        <v>52</v>
      </c>
      <c r="G111">
        <v>2</v>
      </c>
      <c r="H111">
        <v>21</v>
      </c>
    </row>
    <row r="112" spans="2:8" x14ac:dyDescent="0.25">
      <c r="B112" t="str">
        <f t="shared" si="1"/>
        <v>25HASE</v>
      </c>
      <c r="C112">
        <v>2025</v>
      </c>
      <c r="D112" t="s">
        <v>26</v>
      </c>
      <c r="E112" t="s">
        <v>31</v>
      </c>
      <c r="F112" t="s">
        <v>52</v>
      </c>
      <c r="G112">
        <v>2</v>
      </c>
      <c r="H112">
        <v>21</v>
      </c>
    </row>
    <row r="113" spans="2:8" x14ac:dyDescent="0.25">
      <c r="B113" t="str">
        <f t="shared" si="1"/>
        <v>16HAEX</v>
      </c>
      <c r="C113">
        <v>2016</v>
      </c>
      <c r="D113" t="s">
        <v>26</v>
      </c>
      <c r="E113" t="s">
        <v>31</v>
      </c>
      <c r="F113" t="s">
        <v>53</v>
      </c>
      <c r="G113">
        <v>3</v>
      </c>
      <c r="H113">
        <v>20</v>
      </c>
    </row>
    <row r="114" spans="2:8" x14ac:dyDescent="0.25">
      <c r="B114" t="str">
        <f t="shared" si="1"/>
        <v>17HAEX</v>
      </c>
      <c r="C114">
        <v>2017</v>
      </c>
      <c r="D114" t="s">
        <v>26</v>
      </c>
      <c r="E114" t="s">
        <v>31</v>
      </c>
      <c r="F114" t="s">
        <v>53</v>
      </c>
      <c r="G114">
        <v>3</v>
      </c>
      <c r="H114">
        <v>20</v>
      </c>
    </row>
    <row r="115" spans="2:8" x14ac:dyDescent="0.25">
      <c r="B115" t="str">
        <f t="shared" si="1"/>
        <v>18HAEX</v>
      </c>
      <c r="C115">
        <v>2018</v>
      </c>
      <c r="D115" t="s">
        <v>26</v>
      </c>
      <c r="E115" t="s">
        <v>31</v>
      </c>
      <c r="F115" t="s">
        <v>53</v>
      </c>
      <c r="G115">
        <v>3</v>
      </c>
      <c r="H115">
        <v>20</v>
      </c>
    </row>
    <row r="116" spans="2:8" x14ac:dyDescent="0.25">
      <c r="B116" t="str">
        <f t="shared" si="1"/>
        <v>19HAEX</v>
      </c>
      <c r="C116">
        <v>2019</v>
      </c>
      <c r="D116" t="s">
        <v>26</v>
      </c>
      <c r="E116" t="s">
        <v>31</v>
      </c>
      <c r="F116" t="s">
        <v>53</v>
      </c>
      <c r="G116">
        <v>3</v>
      </c>
      <c r="H116">
        <v>21</v>
      </c>
    </row>
    <row r="117" spans="2:8" x14ac:dyDescent="0.25">
      <c r="B117" t="str">
        <f t="shared" si="1"/>
        <v>20HAEX</v>
      </c>
      <c r="C117">
        <v>2020</v>
      </c>
      <c r="D117" t="s">
        <v>26</v>
      </c>
      <c r="E117" t="s">
        <v>31</v>
      </c>
      <c r="F117" t="s">
        <v>53</v>
      </c>
      <c r="G117">
        <v>3</v>
      </c>
      <c r="H117">
        <v>21</v>
      </c>
    </row>
    <row r="118" spans="2:8" x14ac:dyDescent="0.25">
      <c r="B118" t="str">
        <f t="shared" si="1"/>
        <v>21HAEX</v>
      </c>
      <c r="C118">
        <v>2021</v>
      </c>
      <c r="D118" t="s">
        <v>26</v>
      </c>
      <c r="E118" t="s">
        <v>31</v>
      </c>
      <c r="F118" t="s">
        <v>53</v>
      </c>
      <c r="G118">
        <v>3</v>
      </c>
      <c r="H118">
        <v>21</v>
      </c>
    </row>
    <row r="119" spans="2:8" x14ac:dyDescent="0.25">
      <c r="B119" t="str">
        <f t="shared" si="1"/>
        <v>22HAEX</v>
      </c>
      <c r="C119">
        <v>2022</v>
      </c>
      <c r="D119" t="s">
        <v>26</v>
      </c>
      <c r="E119" t="s">
        <v>31</v>
      </c>
      <c r="F119" t="s">
        <v>53</v>
      </c>
      <c r="G119">
        <v>3</v>
      </c>
      <c r="H119">
        <v>22</v>
      </c>
    </row>
    <row r="120" spans="2:8" x14ac:dyDescent="0.25">
      <c r="B120" t="str">
        <f t="shared" si="1"/>
        <v>23HAEX</v>
      </c>
      <c r="C120">
        <v>2023</v>
      </c>
      <c r="D120" t="s">
        <v>26</v>
      </c>
      <c r="E120" t="s">
        <v>31</v>
      </c>
      <c r="F120" t="s">
        <v>53</v>
      </c>
      <c r="G120">
        <v>3</v>
      </c>
      <c r="H120">
        <v>22</v>
      </c>
    </row>
    <row r="121" spans="2:8" x14ac:dyDescent="0.25">
      <c r="B121" t="str">
        <f t="shared" si="1"/>
        <v>24HAEX</v>
      </c>
      <c r="C121">
        <v>2024</v>
      </c>
      <c r="D121" t="s">
        <v>26</v>
      </c>
      <c r="E121" t="s">
        <v>31</v>
      </c>
      <c r="F121" t="s">
        <v>53</v>
      </c>
      <c r="G121">
        <v>3</v>
      </c>
      <c r="H121">
        <v>22</v>
      </c>
    </row>
    <row r="122" spans="2:8" x14ac:dyDescent="0.25">
      <c r="B122" t="str">
        <f t="shared" si="1"/>
        <v>25HAEX</v>
      </c>
      <c r="C122">
        <v>2025</v>
      </c>
      <c r="D122" t="s">
        <v>26</v>
      </c>
      <c r="E122" t="s">
        <v>31</v>
      </c>
      <c r="F122" t="s">
        <v>53</v>
      </c>
      <c r="G122">
        <v>3</v>
      </c>
      <c r="H122">
        <v>22</v>
      </c>
    </row>
    <row r="123" spans="2:8" x14ac:dyDescent="0.25">
      <c r="B123" t="str">
        <f t="shared" si="1"/>
        <v>16HCLX</v>
      </c>
      <c r="C123">
        <v>2016</v>
      </c>
      <c r="D123" t="s">
        <v>26</v>
      </c>
      <c r="E123" t="s">
        <v>30</v>
      </c>
      <c r="F123" t="s">
        <v>51</v>
      </c>
      <c r="G123">
        <v>1</v>
      </c>
      <c r="H123">
        <v>18</v>
      </c>
    </row>
    <row r="124" spans="2:8" x14ac:dyDescent="0.25">
      <c r="B124" t="str">
        <f t="shared" si="1"/>
        <v>17HCLX</v>
      </c>
      <c r="C124">
        <v>2017</v>
      </c>
      <c r="D124" t="s">
        <v>26</v>
      </c>
      <c r="E124" t="s">
        <v>30</v>
      </c>
      <c r="F124" t="s">
        <v>51</v>
      </c>
      <c r="G124">
        <v>1</v>
      </c>
      <c r="H124">
        <v>18</v>
      </c>
    </row>
    <row r="125" spans="2:8" x14ac:dyDescent="0.25">
      <c r="B125" t="str">
        <f t="shared" si="1"/>
        <v>18HCLX</v>
      </c>
      <c r="C125">
        <v>2018</v>
      </c>
      <c r="D125" t="s">
        <v>26</v>
      </c>
      <c r="E125" t="s">
        <v>30</v>
      </c>
      <c r="F125" t="s">
        <v>51</v>
      </c>
      <c r="G125">
        <v>1</v>
      </c>
      <c r="H125">
        <v>18</v>
      </c>
    </row>
    <row r="126" spans="2:8" x14ac:dyDescent="0.25">
      <c r="B126" t="str">
        <f t="shared" si="1"/>
        <v>19HCLX</v>
      </c>
      <c r="C126">
        <v>2019</v>
      </c>
      <c r="D126" t="s">
        <v>26</v>
      </c>
      <c r="E126" t="s">
        <v>30</v>
      </c>
      <c r="F126" t="s">
        <v>51</v>
      </c>
      <c r="G126">
        <v>1</v>
      </c>
      <c r="H126">
        <v>19</v>
      </c>
    </row>
    <row r="127" spans="2:8" x14ac:dyDescent="0.25">
      <c r="B127" t="str">
        <f t="shared" si="1"/>
        <v>20HCLX</v>
      </c>
      <c r="C127">
        <v>2020</v>
      </c>
      <c r="D127" t="s">
        <v>26</v>
      </c>
      <c r="E127" t="s">
        <v>30</v>
      </c>
      <c r="F127" t="s">
        <v>51</v>
      </c>
      <c r="G127">
        <v>1</v>
      </c>
      <c r="H127">
        <v>19</v>
      </c>
    </row>
    <row r="128" spans="2:8" x14ac:dyDescent="0.25">
      <c r="B128" t="str">
        <f t="shared" si="1"/>
        <v>21HCLX</v>
      </c>
      <c r="C128">
        <v>2021</v>
      </c>
      <c r="D128" t="s">
        <v>26</v>
      </c>
      <c r="E128" t="s">
        <v>30</v>
      </c>
      <c r="F128" t="s">
        <v>51</v>
      </c>
      <c r="G128">
        <v>1</v>
      </c>
      <c r="H128">
        <v>19</v>
      </c>
    </row>
    <row r="129" spans="2:8" x14ac:dyDescent="0.25">
      <c r="B129" t="str">
        <f t="shared" si="1"/>
        <v>22HCLX</v>
      </c>
      <c r="C129">
        <v>2022</v>
      </c>
      <c r="D129" t="s">
        <v>26</v>
      </c>
      <c r="E129" t="s">
        <v>30</v>
      </c>
      <c r="F129" t="s">
        <v>51</v>
      </c>
      <c r="G129">
        <v>1</v>
      </c>
      <c r="H129">
        <v>20</v>
      </c>
    </row>
    <row r="130" spans="2:8" x14ac:dyDescent="0.25">
      <c r="B130" t="str">
        <f t="shared" si="1"/>
        <v>23HCLX</v>
      </c>
      <c r="C130">
        <v>2023</v>
      </c>
      <c r="D130" t="s">
        <v>26</v>
      </c>
      <c r="E130" t="s">
        <v>30</v>
      </c>
      <c r="F130" t="s">
        <v>51</v>
      </c>
      <c r="G130">
        <v>1</v>
      </c>
      <c r="H130">
        <v>20</v>
      </c>
    </row>
    <row r="131" spans="2:8" x14ac:dyDescent="0.25">
      <c r="B131" t="str">
        <f t="shared" si="1"/>
        <v>24HCLX</v>
      </c>
      <c r="C131">
        <v>2024</v>
      </c>
      <c r="D131" t="s">
        <v>26</v>
      </c>
      <c r="E131" t="s">
        <v>30</v>
      </c>
      <c r="F131" t="s">
        <v>51</v>
      </c>
      <c r="G131">
        <v>1</v>
      </c>
      <c r="H131">
        <v>20</v>
      </c>
    </row>
    <row r="132" spans="2:8" x14ac:dyDescent="0.25">
      <c r="B132" t="str">
        <f t="shared" ref="B132:B195" si="2">_xlfn.CONCAT(RIGHT(C132,2),LEFT(D132,1),LEFT(E132,1),LEFT(F132, 2))</f>
        <v>25HCLX</v>
      </c>
      <c r="C132">
        <v>2025</v>
      </c>
      <c r="D132" t="s">
        <v>26</v>
      </c>
      <c r="E132" t="s">
        <v>30</v>
      </c>
      <c r="F132" t="s">
        <v>51</v>
      </c>
      <c r="G132">
        <v>1</v>
      </c>
      <c r="H132">
        <v>20</v>
      </c>
    </row>
    <row r="133" spans="2:8" x14ac:dyDescent="0.25">
      <c r="B133" t="str">
        <f t="shared" si="2"/>
        <v>16HCEX</v>
      </c>
      <c r="C133">
        <v>2016</v>
      </c>
      <c r="D133" t="s">
        <v>26</v>
      </c>
      <c r="E133" t="s">
        <v>30</v>
      </c>
      <c r="F133" t="s">
        <v>53</v>
      </c>
      <c r="G133">
        <v>2</v>
      </c>
      <c r="H133">
        <v>19</v>
      </c>
    </row>
    <row r="134" spans="2:8" x14ac:dyDescent="0.25">
      <c r="B134" t="str">
        <f t="shared" si="2"/>
        <v>17HCEX</v>
      </c>
      <c r="C134">
        <v>2017</v>
      </c>
      <c r="D134" t="s">
        <v>26</v>
      </c>
      <c r="E134" t="s">
        <v>30</v>
      </c>
      <c r="F134" t="s">
        <v>53</v>
      </c>
      <c r="G134">
        <v>2</v>
      </c>
      <c r="H134">
        <v>19</v>
      </c>
    </row>
    <row r="135" spans="2:8" x14ac:dyDescent="0.25">
      <c r="B135" t="str">
        <f t="shared" si="2"/>
        <v>18HCEX</v>
      </c>
      <c r="C135">
        <v>2018</v>
      </c>
      <c r="D135" t="s">
        <v>26</v>
      </c>
      <c r="E135" t="s">
        <v>30</v>
      </c>
      <c r="F135" t="s">
        <v>53</v>
      </c>
      <c r="G135">
        <v>2</v>
      </c>
      <c r="H135">
        <v>19</v>
      </c>
    </row>
    <row r="136" spans="2:8" x14ac:dyDescent="0.25">
      <c r="B136" t="str">
        <f t="shared" si="2"/>
        <v>19HCEX</v>
      </c>
      <c r="C136">
        <v>2019</v>
      </c>
      <c r="D136" t="s">
        <v>26</v>
      </c>
      <c r="E136" t="s">
        <v>30</v>
      </c>
      <c r="F136" t="s">
        <v>53</v>
      </c>
      <c r="G136">
        <v>2</v>
      </c>
      <c r="H136">
        <v>20</v>
      </c>
    </row>
    <row r="137" spans="2:8" x14ac:dyDescent="0.25">
      <c r="B137" t="str">
        <f t="shared" si="2"/>
        <v>20HCEX</v>
      </c>
      <c r="C137">
        <v>2020</v>
      </c>
      <c r="D137" t="s">
        <v>26</v>
      </c>
      <c r="E137" t="s">
        <v>30</v>
      </c>
      <c r="F137" t="s">
        <v>53</v>
      </c>
      <c r="G137">
        <v>2</v>
      </c>
      <c r="H137">
        <v>20</v>
      </c>
    </row>
    <row r="138" spans="2:8" x14ac:dyDescent="0.25">
      <c r="B138" t="str">
        <f t="shared" si="2"/>
        <v>21HCEX</v>
      </c>
      <c r="C138">
        <v>2021</v>
      </c>
      <c r="D138" t="s">
        <v>26</v>
      </c>
      <c r="E138" t="s">
        <v>30</v>
      </c>
      <c r="F138" t="s">
        <v>53</v>
      </c>
      <c r="G138">
        <v>2</v>
      </c>
      <c r="H138">
        <v>20</v>
      </c>
    </row>
    <row r="139" spans="2:8" x14ac:dyDescent="0.25">
      <c r="B139" t="str">
        <f t="shared" si="2"/>
        <v>22HCEX</v>
      </c>
      <c r="C139">
        <v>2022</v>
      </c>
      <c r="D139" t="s">
        <v>26</v>
      </c>
      <c r="E139" t="s">
        <v>30</v>
      </c>
      <c r="F139" t="s">
        <v>53</v>
      </c>
      <c r="G139">
        <v>2</v>
      </c>
      <c r="H139">
        <v>21</v>
      </c>
    </row>
    <row r="140" spans="2:8" x14ac:dyDescent="0.25">
      <c r="B140" t="str">
        <f t="shared" si="2"/>
        <v>23HCEX</v>
      </c>
      <c r="C140">
        <v>2023</v>
      </c>
      <c r="D140" t="s">
        <v>26</v>
      </c>
      <c r="E140" t="s">
        <v>30</v>
      </c>
      <c r="F140" t="s">
        <v>53</v>
      </c>
      <c r="G140">
        <v>2</v>
      </c>
      <c r="H140">
        <v>21</v>
      </c>
    </row>
    <row r="141" spans="2:8" x14ac:dyDescent="0.25">
      <c r="B141" t="str">
        <f t="shared" si="2"/>
        <v>24HCEX</v>
      </c>
      <c r="C141">
        <v>2024</v>
      </c>
      <c r="D141" t="s">
        <v>26</v>
      </c>
      <c r="E141" t="s">
        <v>30</v>
      </c>
      <c r="F141" t="s">
        <v>53</v>
      </c>
      <c r="G141">
        <v>2</v>
      </c>
      <c r="H141">
        <v>21</v>
      </c>
    </row>
    <row r="142" spans="2:8" x14ac:dyDescent="0.25">
      <c r="B142" t="str">
        <f t="shared" si="2"/>
        <v>25HCEX</v>
      </c>
      <c r="C142">
        <v>2025</v>
      </c>
      <c r="D142" t="s">
        <v>26</v>
      </c>
      <c r="E142" t="s">
        <v>30</v>
      </c>
      <c r="F142" t="s">
        <v>53</v>
      </c>
      <c r="G142">
        <v>2</v>
      </c>
      <c r="H142">
        <v>21</v>
      </c>
    </row>
    <row r="143" spans="2:8" x14ac:dyDescent="0.25">
      <c r="B143" t="str">
        <f t="shared" si="2"/>
        <v>16HHLX</v>
      </c>
      <c r="C143">
        <v>2016</v>
      </c>
      <c r="D143" t="s">
        <v>26</v>
      </c>
      <c r="E143" t="s">
        <v>32</v>
      </c>
      <c r="F143" t="s">
        <v>51</v>
      </c>
      <c r="G143">
        <v>1</v>
      </c>
      <c r="H143">
        <v>16</v>
      </c>
    </row>
    <row r="144" spans="2:8" x14ac:dyDescent="0.25">
      <c r="B144" t="str">
        <f t="shared" si="2"/>
        <v>17HHLX</v>
      </c>
      <c r="C144">
        <v>2017</v>
      </c>
      <c r="D144" t="s">
        <v>26</v>
      </c>
      <c r="E144" t="s">
        <v>32</v>
      </c>
      <c r="F144" t="s">
        <v>51</v>
      </c>
      <c r="G144">
        <v>1</v>
      </c>
      <c r="H144">
        <v>16</v>
      </c>
    </row>
    <row r="145" spans="2:8" x14ac:dyDescent="0.25">
      <c r="B145" t="str">
        <f t="shared" si="2"/>
        <v>18HHLX</v>
      </c>
      <c r="C145">
        <v>2018</v>
      </c>
      <c r="D145" t="s">
        <v>26</v>
      </c>
      <c r="E145" t="s">
        <v>32</v>
      </c>
      <c r="F145" t="s">
        <v>51</v>
      </c>
      <c r="G145">
        <v>1</v>
      </c>
      <c r="H145">
        <v>16</v>
      </c>
    </row>
    <row r="146" spans="2:8" x14ac:dyDescent="0.25">
      <c r="B146" t="str">
        <f t="shared" si="2"/>
        <v>19HHLX</v>
      </c>
      <c r="C146">
        <v>2019</v>
      </c>
      <c r="D146" t="s">
        <v>26</v>
      </c>
      <c r="E146" t="s">
        <v>32</v>
      </c>
      <c r="F146" t="s">
        <v>51</v>
      </c>
      <c r="G146">
        <v>1</v>
      </c>
      <c r="H146">
        <v>17</v>
      </c>
    </row>
    <row r="147" spans="2:8" x14ac:dyDescent="0.25">
      <c r="B147" t="str">
        <f t="shared" si="2"/>
        <v>20HHLX</v>
      </c>
      <c r="C147">
        <v>2020</v>
      </c>
      <c r="D147" t="s">
        <v>26</v>
      </c>
      <c r="E147" t="s">
        <v>32</v>
      </c>
      <c r="F147" t="s">
        <v>51</v>
      </c>
      <c r="G147">
        <v>1</v>
      </c>
      <c r="H147">
        <v>17</v>
      </c>
    </row>
    <row r="148" spans="2:8" x14ac:dyDescent="0.25">
      <c r="B148" t="str">
        <f t="shared" si="2"/>
        <v>21HHLX</v>
      </c>
      <c r="C148">
        <v>2021</v>
      </c>
      <c r="D148" t="s">
        <v>26</v>
      </c>
      <c r="E148" t="s">
        <v>32</v>
      </c>
      <c r="F148" t="s">
        <v>51</v>
      </c>
      <c r="G148">
        <v>1</v>
      </c>
      <c r="H148">
        <v>17</v>
      </c>
    </row>
    <row r="149" spans="2:8" x14ac:dyDescent="0.25">
      <c r="B149" t="str">
        <f t="shared" si="2"/>
        <v>22HHLX</v>
      </c>
      <c r="C149">
        <v>2022</v>
      </c>
      <c r="D149" t="s">
        <v>26</v>
      </c>
      <c r="E149" t="s">
        <v>32</v>
      </c>
      <c r="F149" t="s">
        <v>51</v>
      </c>
      <c r="G149">
        <v>1</v>
      </c>
      <c r="H149">
        <v>18</v>
      </c>
    </row>
    <row r="150" spans="2:8" x14ac:dyDescent="0.25">
      <c r="B150" t="str">
        <f t="shared" si="2"/>
        <v>23HHLX</v>
      </c>
      <c r="C150">
        <v>2023</v>
      </c>
      <c r="D150" t="s">
        <v>26</v>
      </c>
      <c r="E150" t="s">
        <v>32</v>
      </c>
      <c r="F150" t="s">
        <v>51</v>
      </c>
      <c r="G150">
        <v>1</v>
      </c>
      <c r="H150">
        <v>18</v>
      </c>
    </row>
    <row r="151" spans="2:8" x14ac:dyDescent="0.25">
      <c r="B151" t="str">
        <f t="shared" si="2"/>
        <v>24HHLX</v>
      </c>
      <c r="C151">
        <v>2024</v>
      </c>
      <c r="D151" t="s">
        <v>26</v>
      </c>
      <c r="E151" t="s">
        <v>32</v>
      </c>
      <c r="F151" t="s">
        <v>51</v>
      </c>
      <c r="G151">
        <v>1</v>
      </c>
      <c r="H151">
        <v>18</v>
      </c>
    </row>
    <row r="152" spans="2:8" x14ac:dyDescent="0.25">
      <c r="B152" t="str">
        <f t="shared" si="2"/>
        <v>25HHLX</v>
      </c>
      <c r="C152">
        <v>2025</v>
      </c>
      <c r="D152" t="s">
        <v>26</v>
      </c>
      <c r="E152" t="s">
        <v>32</v>
      </c>
      <c r="F152" t="s">
        <v>51</v>
      </c>
      <c r="G152">
        <v>1</v>
      </c>
      <c r="H152">
        <v>18</v>
      </c>
    </row>
    <row r="153" spans="2:8" x14ac:dyDescent="0.25">
      <c r="B153" t="str">
        <f t="shared" si="2"/>
        <v>16HHEX</v>
      </c>
      <c r="C153">
        <v>2016</v>
      </c>
      <c r="D153" t="s">
        <v>26</v>
      </c>
      <c r="E153" t="s">
        <v>32</v>
      </c>
      <c r="F153" t="s">
        <v>55</v>
      </c>
      <c r="G153">
        <v>2</v>
      </c>
      <c r="H153">
        <v>17</v>
      </c>
    </row>
    <row r="154" spans="2:8" x14ac:dyDescent="0.25">
      <c r="B154" t="str">
        <f t="shared" si="2"/>
        <v>17HHEX</v>
      </c>
      <c r="C154">
        <v>2017</v>
      </c>
      <c r="D154" t="s">
        <v>26</v>
      </c>
      <c r="E154" t="s">
        <v>32</v>
      </c>
      <c r="F154" t="s">
        <v>55</v>
      </c>
      <c r="G154">
        <v>2</v>
      </c>
      <c r="H154">
        <v>17</v>
      </c>
    </row>
    <row r="155" spans="2:8" x14ac:dyDescent="0.25">
      <c r="B155" t="str">
        <f t="shared" si="2"/>
        <v>18HHEX</v>
      </c>
      <c r="C155">
        <v>2018</v>
      </c>
      <c r="D155" t="s">
        <v>26</v>
      </c>
      <c r="E155" t="s">
        <v>32</v>
      </c>
      <c r="F155" t="s">
        <v>55</v>
      </c>
      <c r="G155">
        <v>2</v>
      </c>
      <c r="H155">
        <v>17</v>
      </c>
    </row>
    <row r="156" spans="2:8" x14ac:dyDescent="0.25">
      <c r="B156" t="str">
        <f t="shared" si="2"/>
        <v>19HHEX</v>
      </c>
      <c r="C156">
        <v>2019</v>
      </c>
      <c r="D156" t="s">
        <v>26</v>
      </c>
      <c r="E156" t="s">
        <v>32</v>
      </c>
      <c r="F156" t="s">
        <v>55</v>
      </c>
      <c r="G156">
        <v>2</v>
      </c>
      <c r="H156">
        <v>18</v>
      </c>
    </row>
    <row r="157" spans="2:8" x14ac:dyDescent="0.25">
      <c r="B157" t="str">
        <f t="shared" si="2"/>
        <v>20HHEX</v>
      </c>
      <c r="C157">
        <v>2020</v>
      </c>
      <c r="D157" t="s">
        <v>26</v>
      </c>
      <c r="E157" t="s">
        <v>32</v>
      </c>
      <c r="F157" t="s">
        <v>55</v>
      </c>
      <c r="G157">
        <v>2</v>
      </c>
      <c r="H157">
        <v>18</v>
      </c>
    </row>
    <row r="158" spans="2:8" x14ac:dyDescent="0.25">
      <c r="B158" t="str">
        <f t="shared" si="2"/>
        <v>21HHEX</v>
      </c>
      <c r="C158">
        <v>2021</v>
      </c>
      <c r="D158" t="s">
        <v>26</v>
      </c>
      <c r="E158" t="s">
        <v>32</v>
      </c>
      <c r="F158" t="s">
        <v>55</v>
      </c>
      <c r="G158">
        <v>2</v>
      </c>
      <c r="H158">
        <v>18</v>
      </c>
    </row>
    <row r="159" spans="2:8" x14ac:dyDescent="0.25">
      <c r="B159" t="str">
        <f t="shared" si="2"/>
        <v>22HHEX</v>
      </c>
      <c r="C159">
        <v>2022</v>
      </c>
      <c r="D159" t="s">
        <v>26</v>
      </c>
      <c r="E159" t="s">
        <v>32</v>
      </c>
      <c r="F159" t="s">
        <v>55</v>
      </c>
      <c r="G159">
        <v>2</v>
      </c>
      <c r="H159">
        <v>19</v>
      </c>
    </row>
    <row r="160" spans="2:8" x14ac:dyDescent="0.25">
      <c r="B160" t="str">
        <f t="shared" si="2"/>
        <v>23HHEX</v>
      </c>
      <c r="C160">
        <v>2023</v>
      </c>
      <c r="D160" t="s">
        <v>26</v>
      </c>
      <c r="E160" t="s">
        <v>32</v>
      </c>
      <c r="F160" t="s">
        <v>55</v>
      </c>
      <c r="G160">
        <v>2</v>
      </c>
      <c r="H160">
        <v>19</v>
      </c>
    </row>
    <row r="161" spans="2:8" x14ac:dyDescent="0.25">
      <c r="B161" t="str">
        <f t="shared" si="2"/>
        <v>24HHEX</v>
      </c>
      <c r="C161">
        <v>2024</v>
      </c>
      <c r="D161" t="s">
        <v>26</v>
      </c>
      <c r="E161" t="s">
        <v>32</v>
      </c>
      <c r="F161" t="s">
        <v>55</v>
      </c>
      <c r="G161">
        <v>2</v>
      </c>
      <c r="H161">
        <v>19</v>
      </c>
    </row>
    <row r="162" spans="2:8" x14ac:dyDescent="0.25">
      <c r="B162" t="str">
        <f t="shared" si="2"/>
        <v>25HHEX</v>
      </c>
      <c r="C162">
        <v>2025</v>
      </c>
      <c r="D162" t="s">
        <v>26</v>
      </c>
      <c r="E162" t="s">
        <v>32</v>
      </c>
      <c r="F162" t="s">
        <v>55</v>
      </c>
      <c r="G162">
        <v>2</v>
      </c>
      <c r="H162">
        <v>19</v>
      </c>
    </row>
    <row r="163" spans="2:8" x14ac:dyDescent="0.25">
      <c r="B163" t="str">
        <f t="shared" si="2"/>
        <v>16HESE</v>
      </c>
      <c r="C163">
        <v>2016</v>
      </c>
      <c r="D163" t="s">
        <v>39</v>
      </c>
      <c r="E163" t="s">
        <v>40</v>
      </c>
      <c r="F163" t="s">
        <v>52</v>
      </c>
      <c r="G163">
        <v>1</v>
      </c>
      <c r="H163">
        <v>16</v>
      </c>
    </row>
    <row r="164" spans="2:8" x14ac:dyDescent="0.25">
      <c r="B164" t="str">
        <f t="shared" si="2"/>
        <v>17HESE</v>
      </c>
      <c r="C164">
        <v>2017</v>
      </c>
      <c r="D164" t="s">
        <v>39</v>
      </c>
      <c r="E164" t="s">
        <v>40</v>
      </c>
      <c r="F164" t="s">
        <v>52</v>
      </c>
      <c r="G164">
        <v>1</v>
      </c>
      <c r="H164">
        <v>16</v>
      </c>
    </row>
    <row r="165" spans="2:8" x14ac:dyDescent="0.25">
      <c r="B165" t="str">
        <f t="shared" si="2"/>
        <v>18HESE</v>
      </c>
      <c r="C165">
        <v>2018</v>
      </c>
      <c r="D165" t="s">
        <v>39</v>
      </c>
      <c r="E165" t="s">
        <v>40</v>
      </c>
      <c r="F165" t="s">
        <v>52</v>
      </c>
      <c r="G165">
        <v>1</v>
      </c>
      <c r="H165">
        <v>16</v>
      </c>
    </row>
    <row r="166" spans="2:8" x14ac:dyDescent="0.25">
      <c r="B166" t="str">
        <f t="shared" si="2"/>
        <v>19HESE</v>
      </c>
      <c r="C166">
        <v>2019</v>
      </c>
      <c r="D166" t="s">
        <v>39</v>
      </c>
      <c r="E166" t="s">
        <v>40</v>
      </c>
      <c r="F166" t="s">
        <v>52</v>
      </c>
      <c r="G166">
        <v>1</v>
      </c>
      <c r="H166">
        <v>17</v>
      </c>
    </row>
    <row r="167" spans="2:8" x14ac:dyDescent="0.25">
      <c r="B167" t="str">
        <f t="shared" si="2"/>
        <v>20HESE</v>
      </c>
      <c r="C167">
        <v>2020</v>
      </c>
      <c r="D167" t="s">
        <v>39</v>
      </c>
      <c r="E167" t="s">
        <v>40</v>
      </c>
      <c r="F167" t="s">
        <v>52</v>
      </c>
      <c r="G167">
        <v>1</v>
      </c>
      <c r="H167">
        <v>17</v>
      </c>
    </row>
    <row r="168" spans="2:8" x14ac:dyDescent="0.25">
      <c r="B168" t="str">
        <f t="shared" si="2"/>
        <v>21HESE</v>
      </c>
      <c r="C168">
        <v>2021</v>
      </c>
      <c r="D168" t="s">
        <v>39</v>
      </c>
      <c r="E168" t="s">
        <v>40</v>
      </c>
      <c r="F168" t="s">
        <v>52</v>
      </c>
      <c r="G168">
        <v>1</v>
      </c>
      <c r="H168">
        <v>17</v>
      </c>
    </row>
    <row r="169" spans="2:8" x14ac:dyDescent="0.25">
      <c r="B169" t="str">
        <f t="shared" si="2"/>
        <v>22HESE</v>
      </c>
      <c r="C169">
        <v>2022</v>
      </c>
      <c r="D169" t="s">
        <v>39</v>
      </c>
      <c r="E169" t="s">
        <v>40</v>
      </c>
      <c r="F169" t="s">
        <v>52</v>
      </c>
      <c r="G169">
        <v>1</v>
      </c>
      <c r="H169">
        <v>18</v>
      </c>
    </row>
    <row r="170" spans="2:8" x14ac:dyDescent="0.25">
      <c r="B170" t="str">
        <f t="shared" si="2"/>
        <v>23HESE</v>
      </c>
      <c r="C170">
        <v>2023</v>
      </c>
      <c r="D170" t="s">
        <v>39</v>
      </c>
      <c r="E170" t="s">
        <v>40</v>
      </c>
      <c r="F170" t="s">
        <v>52</v>
      </c>
      <c r="G170">
        <v>1</v>
      </c>
      <c r="H170">
        <v>18</v>
      </c>
    </row>
    <row r="171" spans="2:8" x14ac:dyDescent="0.25">
      <c r="B171" t="str">
        <f t="shared" si="2"/>
        <v>24HESE</v>
      </c>
      <c r="C171">
        <v>2024</v>
      </c>
      <c r="D171" t="s">
        <v>39</v>
      </c>
      <c r="E171" t="s">
        <v>40</v>
      </c>
      <c r="F171" t="s">
        <v>52</v>
      </c>
      <c r="G171">
        <v>1</v>
      </c>
      <c r="H171">
        <v>18</v>
      </c>
    </row>
    <row r="172" spans="2:8" x14ac:dyDescent="0.25">
      <c r="B172" t="str">
        <f t="shared" si="2"/>
        <v>25HESE</v>
      </c>
      <c r="C172">
        <v>2025</v>
      </c>
      <c r="D172" t="s">
        <v>39</v>
      </c>
      <c r="E172" t="s">
        <v>40</v>
      </c>
      <c r="F172" t="s">
        <v>52</v>
      </c>
      <c r="G172">
        <v>1</v>
      </c>
      <c r="H172">
        <v>18</v>
      </c>
    </row>
    <row r="173" spans="2:8" x14ac:dyDescent="0.25">
      <c r="B173" t="str">
        <f t="shared" si="2"/>
        <v>16HELi</v>
      </c>
      <c r="C173">
        <v>2016</v>
      </c>
      <c r="D173" t="s">
        <v>39</v>
      </c>
      <c r="E173" t="s">
        <v>40</v>
      </c>
      <c r="F173" t="s">
        <v>50</v>
      </c>
      <c r="G173">
        <v>2</v>
      </c>
      <c r="H173">
        <v>17</v>
      </c>
    </row>
    <row r="174" spans="2:8" x14ac:dyDescent="0.25">
      <c r="B174" t="str">
        <f t="shared" si="2"/>
        <v>17HELi</v>
      </c>
      <c r="C174">
        <v>2017</v>
      </c>
      <c r="D174" t="s">
        <v>39</v>
      </c>
      <c r="E174" t="s">
        <v>40</v>
      </c>
      <c r="F174" t="s">
        <v>50</v>
      </c>
      <c r="G174">
        <v>2</v>
      </c>
      <c r="H174">
        <v>17</v>
      </c>
    </row>
    <row r="175" spans="2:8" x14ac:dyDescent="0.25">
      <c r="B175" t="str">
        <f t="shared" si="2"/>
        <v>18HELi</v>
      </c>
      <c r="C175">
        <v>2018</v>
      </c>
      <c r="D175" t="s">
        <v>39</v>
      </c>
      <c r="E175" t="s">
        <v>40</v>
      </c>
      <c r="F175" t="s">
        <v>50</v>
      </c>
      <c r="G175">
        <v>2</v>
      </c>
      <c r="H175">
        <v>17</v>
      </c>
    </row>
    <row r="176" spans="2:8" x14ac:dyDescent="0.25">
      <c r="B176" t="str">
        <f t="shared" si="2"/>
        <v>19HELi</v>
      </c>
      <c r="C176">
        <v>2019</v>
      </c>
      <c r="D176" t="s">
        <v>39</v>
      </c>
      <c r="E176" t="s">
        <v>40</v>
      </c>
      <c r="F176" t="s">
        <v>50</v>
      </c>
      <c r="G176">
        <v>2</v>
      </c>
      <c r="H176">
        <v>18</v>
      </c>
    </row>
    <row r="177" spans="2:8" x14ac:dyDescent="0.25">
      <c r="B177" t="str">
        <f t="shared" si="2"/>
        <v>20HELi</v>
      </c>
      <c r="C177">
        <v>2020</v>
      </c>
      <c r="D177" t="s">
        <v>39</v>
      </c>
      <c r="E177" t="s">
        <v>40</v>
      </c>
      <c r="F177" t="s">
        <v>50</v>
      </c>
      <c r="G177">
        <v>2</v>
      </c>
      <c r="H177">
        <v>18</v>
      </c>
    </row>
    <row r="178" spans="2:8" x14ac:dyDescent="0.25">
      <c r="B178" t="str">
        <f t="shared" si="2"/>
        <v>21HELi</v>
      </c>
      <c r="C178">
        <v>2021</v>
      </c>
      <c r="D178" t="s">
        <v>39</v>
      </c>
      <c r="E178" t="s">
        <v>40</v>
      </c>
      <c r="F178" t="s">
        <v>50</v>
      </c>
      <c r="G178">
        <v>2</v>
      </c>
      <c r="H178">
        <v>18</v>
      </c>
    </row>
    <row r="179" spans="2:8" x14ac:dyDescent="0.25">
      <c r="B179" t="str">
        <f t="shared" si="2"/>
        <v>22HELi</v>
      </c>
      <c r="C179">
        <v>2022</v>
      </c>
      <c r="D179" t="s">
        <v>39</v>
      </c>
      <c r="E179" t="s">
        <v>40</v>
      </c>
      <c r="F179" t="s">
        <v>50</v>
      </c>
      <c r="G179">
        <v>2</v>
      </c>
      <c r="H179">
        <v>19</v>
      </c>
    </row>
    <row r="180" spans="2:8" x14ac:dyDescent="0.25">
      <c r="B180" t="str">
        <f t="shared" si="2"/>
        <v>23HELi</v>
      </c>
      <c r="C180">
        <v>2023</v>
      </c>
      <c r="D180" t="s">
        <v>39</v>
      </c>
      <c r="E180" t="s">
        <v>40</v>
      </c>
      <c r="F180" t="s">
        <v>50</v>
      </c>
      <c r="G180">
        <v>2</v>
      </c>
      <c r="H180">
        <v>19</v>
      </c>
    </row>
    <row r="181" spans="2:8" x14ac:dyDescent="0.25">
      <c r="B181" t="str">
        <f t="shared" si="2"/>
        <v>24HELi</v>
      </c>
      <c r="C181">
        <v>2024</v>
      </c>
      <c r="D181" t="s">
        <v>39</v>
      </c>
      <c r="E181" t="s">
        <v>40</v>
      </c>
      <c r="F181" t="s">
        <v>50</v>
      </c>
      <c r="G181">
        <v>2</v>
      </c>
      <c r="H181">
        <v>19</v>
      </c>
    </row>
    <row r="182" spans="2:8" x14ac:dyDescent="0.25">
      <c r="B182" t="str">
        <f t="shared" si="2"/>
        <v>25HELi</v>
      </c>
      <c r="C182">
        <v>2025</v>
      </c>
      <c r="D182" t="s">
        <v>39</v>
      </c>
      <c r="E182" t="s">
        <v>40</v>
      </c>
      <c r="F182" t="s">
        <v>50</v>
      </c>
      <c r="G182">
        <v>2</v>
      </c>
      <c r="H182">
        <v>19</v>
      </c>
    </row>
    <row r="183" spans="2:8" x14ac:dyDescent="0.25">
      <c r="B183" t="str">
        <f t="shared" si="2"/>
        <v>16HSSE</v>
      </c>
      <c r="C183">
        <v>2016</v>
      </c>
      <c r="D183" t="s">
        <v>39</v>
      </c>
      <c r="E183" t="s">
        <v>41</v>
      </c>
      <c r="F183" t="s">
        <v>52</v>
      </c>
      <c r="G183">
        <v>1</v>
      </c>
      <c r="H183">
        <v>19</v>
      </c>
    </row>
    <row r="184" spans="2:8" x14ac:dyDescent="0.25">
      <c r="B184" t="str">
        <f t="shared" si="2"/>
        <v>17HSSE</v>
      </c>
      <c r="C184">
        <v>2017</v>
      </c>
      <c r="D184" t="s">
        <v>39</v>
      </c>
      <c r="E184" t="s">
        <v>41</v>
      </c>
      <c r="F184" t="s">
        <v>52</v>
      </c>
      <c r="G184">
        <v>1</v>
      </c>
      <c r="H184">
        <v>19</v>
      </c>
    </row>
    <row r="185" spans="2:8" x14ac:dyDescent="0.25">
      <c r="B185" t="str">
        <f t="shared" si="2"/>
        <v>18HSSE</v>
      </c>
      <c r="C185">
        <v>2018</v>
      </c>
      <c r="D185" t="s">
        <v>39</v>
      </c>
      <c r="E185" t="s">
        <v>41</v>
      </c>
      <c r="F185" t="s">
        <v>52</v>
      </c>
      <c r="G185">
        <v>1</v>
      </c>
      <c r="H185">
        <v>19</v>
      </c>
    </row>
    <row r="186" spans="2:8" x14ac:dyDescent="0.25">
      <c r="B186" t="str">
        <f t="shared" si="2"/>
        <v>19HSSE</v>
      </c>
      <c r="C186">
        <v>2019</v>
      </c>
      <c r="D186" t="s">
        <v>39</v>
      </c>
      <c r="E186" t="s">
        <v>41</v>
      </c>
      <c r="F186" t="s">
        <v>52</v>
      </c>
      <c r="G186">
        <v>1</v>
      </c>
      <c r="H186">
        <v>20</v>
      </c>
    </row>
    <row r="187" spans="2:8" x14ac:dyDescent="0.25">
      <c r="B187" t="str">
        <f t="shared" si="2"/>
        <v>20HSSE</v>
      </c>
      <c r="C187">
        <v>2020</v>
      </c>
      <c r="D187" t="s">
        <v>39</v>
      </c>
      <c r="E187" t="s">
        <v>41</v>
      </c>
      <c r="F187" t="s">
        <v>52</v>
      </c>
      <c r="G187">
        <v>1</v>
      </c>
      <c r="H187">
        <v>20</v>
      </c>
    </row>
    <row r="188" spans="2:8" x14ac:dyDescent="0.25">
      <c r="B188" t="str">
        <f t="shared" si="2"/>
        <v>21HSSE</v>
      </c>
      <c r="C188">
        <v>2021</v>
      </c>
      <c r="D188" t="s">
        <v>39</v>
      </c>
      <c r="E188" t="s">
        <v>41</v>
      </c>
      <c r="F188" t="s">
        <v>52</v>
      </c>
      <c r="G188">
        <v>1</v>
      </c>
      <c r="H188">
        <v>20</v>
      </c>
    </row>
    <row r="189" spans="2:8" x14ac:dyDescent="0.25">
      <c r="B189" t="str">
        <f t="shared" si="2"/>
        <v>22HSSE</v>
      </c>
      <c r="C189">
        <v>2022</v>
      </c>
      <c r="D189" t="s">
        <v>39</v>
      </c>
      <c r="E189" t="s">
        <v>41</v>
      </c>
      <c r="F189" t="s">
        <v>52</v>
      </c>
      <c r="G189">
        <v>1</v>
      </c>
      <c r="H189">
        <v>21</v>
      </c>
    </row>
    <row r="190" spans="2:8" x14ac:dyDescent="0.25">
      <c r="B190" t="str">
        <f t="shared" si="2"/>
        <v>23HSSE</v>
      </c>
      <c r="C190">
        <v>2023</v>
      </c>
      <c r="D190" t="s">
        <v>39</v>
      </c>
      <c r="E190" t="s">
        <v>41</v>
      </c>
      <c r="F190" t="s">
        <v>52</v>
      </c>
      <c r="G190">
        <v>1</v>
      </c>
      <c r="H190">
        <v>21</v>
      </c>
    </row>
    <row r="191" spans="2:8" x14ac:dyDescent="0.25">
      <c r="B191" t="str">
        <f t="shared" si="2"/>
        <v>24HSSE</v>
      </c>
      <c r="C191">
        <v>2024</v>
      </c>
      <c r="D191" t="s">
        <v>39</v>
      </c>
      <c r="E191" t="s">
        <v>41</v>
      </c>
      <c r="F191" t="s">
        <v>52</v>
      </c>
      <c r="G191">
        <v>1</v>
      </c>
      <c r="H191">
        <v>21</v>
      </c>
    </row>
    <row r="192" spans="2:8" x14ac:dyDescent="0.25">
      <c r="B192" t="str">
        <f t="shared" si="2"/>
        <v>25HSSE</v>
      </c>
      <c r="C192">
        <v>2025</v>
      </c>
      <c r="D192" t="s">
        <v>39</v>
      </c>
      <c r="E192" t="s">
        <v>41</v>
      </c>
      <c r="F192" t="s">
        <v>52</v>
      </c>
      <c r="G192">
        <v>1</v>
      </c>
      <c r="H192">
        <v>21</v>
      </c>
    </row>
    <row r="193" spans="2:8" x14ac:dyDescent="0.25">
      <c r="B193" t="str">
        <f t="shared" si="2"/>
        <v>16HSLi</v>
      </c>
      <c r="C193">
        <v>2016</v>
      </c>
      <c r="D193" t="s">
        <v>39</v>
      </c>
      <c r="E193" t="s">
        <v>41</v>
      </c>
      <c r="F193" t="s">
        <v>50</v>
      </c>
      <c r="G193">
        <v>2</v>
      </c>
      <c r="H193">
        <v>20</v>
      </c>
    </row>
    <row r="194" spans="2:8" x14ac:dyDescent="0.25">
      <c r="B194" t="str">
        <f t="shared" si="2"/>
        <v>17HSLi</v>
      </c>
      <c r="C194">
        <v>2017</v>
      </c>
      <c r="D194" t="s">
        <v>39</v>
      </c>
      <c r="E194" t="s">
        <v>41</v>
      </c>
      <c r="F194" t="s">
        <v>50</v>
      </c>
      <c r="G194">
        <v>2</v>
      </c>
      <c r="H194">
        <v>20</v>
      </c>
    </row>
    <row r="195" spans="2:8" x14ac:dyDescent="0.25">
      <c r="B195" t="str">
        <f t="shared" si="2"/>
        <v>18HSLi</v>
      </c>
      <c r="C195">
        <v>2018</v>
      </c>
      <c r="D195" t="s">
        <v>39</v>
      </c>
      <c r="E195" t="s">
        <v>41</v>
      </c>
      <c r="F195" t="s">
        <v>50</v>
      </c>
      <c r="G195">
        <v>2</v>
      </c>
      <c r="H195">
        <v>20</v>
      </c>
    </row>
    <row r="196" spans="2:8" x14ac:dyDescent="0.25">
      <c r="B196" t="str">
        <f t="shared" ref="B196:B259" si="3">_xlfn.CONCAT(RIGHT(C196,2),LEFT(D196,1),LEFT(E196,1),LEFT(F196, 2))</f>
        <v>19HSLi</v>
      </c>
      <c r="C196">
        <v>2019</v>
      </c>
      <c r="D196" t="s">
        <v>39</v>
      </c>
      <c r="E196" t="s">
        <v>41</v>
      </c>
      <c r="F196" t="s">
        <v>50</v>
      </c>
      <c r="G196">
        <v>2</v>
      </c>
      <c r="H196">
        <v>21</v>
      </c>
    </row>
    <row r="197" spans="2:8" x14ac:dyDescent="0.25">
      <c r="B197" t="str">
        <f t="shared" si="3"/>
        <v>20HSLi</v>
      </c>
      <c r="C197">
        <v>2020</v>
      </c>
      <c r="D197" t="s">
        <v>39</v>
      </c>
      <c r="E197" t="s">
        <v>41</v>
      </c>
      <c r="F197" t="s">
        <v>50</v>
      </c>
      <c r="G197">
        <v>2</v>
      </c>
      <c r="H197">
        <v>21</v>
      </c>
    </row>
    <row r="198" spans="2:8" x14ac:dyDescent="0.25">
      <c r="B198" t="str">
        <f t="shared" si="3"/>
        <v>21HSLi</v>
      </c>
      <c r="C198">
        <v>2021</v>
      </c>
      <c r="D198" t="s">
        <v>39</v>
      </c>
      <c r="E198" t="s">
        <v>41</v>
      </c>
      <c r="F198" t="s">
        <v>50</v>
      </c>
      <c r="G198">
        <v>2</v>
      </c>
      <c r="H198">
        <v>21</v>
      </c>
    </row>
    <row r="199" spans="2:8" x14ac:dyDescent="0.25">
      <c r="B199" t="str">
        <f t="shared" si="3"/>
        <v>22HSLi</v>
      </c>
      <c r="C199">
        <v>2022</v>
      </c>
      <c r="D199" t="s">
        <v>39</v>
      </c>
      <c r="E199" t="s">
        <v>41</v>
      </c>
      <c r="F199" t="s">
        <v>50</v>
      </c>
      <c r="G199">
        <v>2</v>
      </c>
      <c r="H199">
        <v>22</v>
      </c>
    </row>
    <row r="200" spans="2:8" x14ac:dyDescent="0.25">
      <c r="B200" t="str">
        <f t="shared" si="3"/>
        <v>23HSLi</v>
      </c>
      <c r="C200">
        <v>2023</v>
      </c>
      <c r="D200" t="s">
        <v>39</v>
      </c>
      <c r="E200" t="s">
        <v>41</v>
      </c>
      <c r="F200" t="s">
        <v>50</v>
      </c>
      <c r="G200">
        <v>2</v>
      </c>
      <c r="H200">
        <v>22</v>
      </c>
    </row>
    <row r="201" spans="2:8" x14ac:dyDescent="0.25">
      <c r="B201" t="str">
        <f t="shared" si="3"/>
        <v>24HSLi</v>
      </c>
      <c r="C201">
        <v>2024</v>
      </c>
      <c r="D201" t="s">
        <v>39</v>
      </c>
      <c r="E201" t="s">
        <v>41</v>
      </c>
      <c r="F201" t="s">
        <v>50</v>
      </c>
      <c r="G201">
        <v>2</v>
      </c>
      <c r="H201">
        <v>22</v>
      </c>
    </row>
    <row r="202" spans="2:8" x14ac:dyDescent="0.25">
      <c r="B202" t="str">
        <f t="shared" si="3"/>
        <v>25HSLi</v>
      </c>
      <c r="C202">
        <v>2025</v>
      </c>
      <c r="D202" t="s">
        <v>39</v>
      </c>
      <c r="E202" t="s">
        <v>41</v>
      </c>
      <c r="F202" t="s">
        <v>50</v>
      </c>
      <c r="G202">
        <v>2</v>
      </c>
      <c r="H202">
        <v>22</v>
      </c>
    </row>
    <row r="203" spans="2:8" x14ac:dyDescent="0.25">
      <c r="B203" t="str">
        <f t="shared" si="3"/>
        <v>16NGPr</v>
      </c>
      <c r="C203">
        <v>2016</v>
      </c>
      <c r="D203" t="s">
        <v>27</v>
      </c>
      <c r="E203" t="s">
        <v>33</v>
      </c>
      <c r="F203" t="s">
        <v>56</v>
      </c>
      <c r="G203">
        <v>1</v>
      </c>
      <c r="H203">
        <v>27</v>
      </c>
    </row>
    <row r="204" spans="2:8" x14ac:dyDescent="0.25">
      <c r="B204" t="str">
        <f t="shared" si="3"/>
        <v>17NGPr</v>
      </c>
      <c r="C204">
        <v>2017</v>
      </c>
      <c r="D204" t="s">
        <v>27</v>
      </c>
      <c r="E204" t="s">
        <v>33</v>
      </c>
      <c r="F204" t="s">
        <v>56</v>
      </c>
      <c r="G204">
        <v>1</v>
      </c>
      <c r="H204">
        <v>27</v>
      </c>
    </row>
    <row r="205" spans="2:8" x14ac:dyDescent="0.25">
      <c r="B205" t="str">
        <f t="shared" si="3"/>
        <v>18NGPr</v>
      </c>
      <c r="C205">
        <v>2018</v>
      </c>
      <c r="D205" t="s">
        <v>27</v>
      </c>
      <c r="E205" t="s">
        <v>33</v>
      </c>
      <c r="F205" t="s">
        <v>56</v>
      </c>
      <c r="G205">
        <v>1</v>
      </c>
      <c r="H205">
        <v>27</v>
      </c>
    </row>
    <row r="206" spans="2:8" x14ac:dyDescent="0.25">
      <c r="B206" t="str">
        <f t="shared" si="3"/>
        <v>19NGPr</v>
      </c>
      <c r="C206">
        <v>2019</v>
      </c>
      <c r="D206" t="s">
        <v>27</v>
      </c>
      <c r="E206" t="s">
        <v>33</v>
      </c>
      <c r="F206" t="s">
        <v>56</v>
      </c>
      <c r="G206">
        <v>1</v>
      </c>
      <c r="H206">
        <v>28</v>
      </c>
    </row>
    <row r="207" spans="2:8" x14ac:dyDescent="0.25">
      <c r="B207" t="str">
        <f t="shared" si="3"/>
        <v>20NGPr</v>
      </c>
      <c r="C207">
        <v>2020</v>
      </c>
      <c r="D207" t="s">
        <v>27</v>
      </c>
      <c r="E207" t="s">
        <v>33</v>
      </c>
      <c r="F207" t="s">
        <v>56</v>
      </c>
      <c r="G207">
        <v>1</v>
      </c>
      <c r="H207">
        <v>28</v>
      </c>
    </row>
    <row r="208" spans="2:8" x14ac:dyDescent="0.25">
      <c r="B208" t="str">
        <f t="shared" si="3"/>
        <v>21NGPr</v>
      </c>
      <c r="C208">
        <v>2021</v>
      </c>
      <c r="D208" t="s">
        <v>27</v>
      </c>
      <c r="E208" t="s">
        <v>33</v>
      </c>
      <c r="F208" t="s">
        <v>56</v>
      </c>
      <c r="G208">
        <v>1</v>
      </c>
      <c r="H208">
        <v>28</v>
      </c>
    </row>
    <row r="209" spans="2:8" x14ac:dyDescent="0.25">
      <c r="B209" t="str">
        <f t="shared" si="3"/>
        <v>22NGPr</v>
      </c>
      <c r="C209">
        <v>2022</v>
      </c>
      <c r="D209" t="s">
        <v>27</v>
      </c>
      <c r="E209" t="s">
        <v>33</v>
      </c>
      <c r="F209" t="s">
        <v>56</v>
      </c>
      <c r="G209">
        <v>1</v>
      </c>
      <c r="H209">
        <v>29</v>
      </c>
    </row>
    <row r="210" spans="2:8" x14ac:dyDescent="0.25">
      <c r="B210" t="str">
        <f t="shared" si="3"/>
        <v>23NGPr</v>
      </c>
      <c r="C210">
        <v>2023</v>
      </c>
      <c r="D210" t="s">
        <v>27</v>
      </c>
      <c r="E210" t="s">
        <v>33</v>
      </c>
      <c r="F210" t="s">
        <v>56</v>
      </c>
      <c r="G210">
        <v>1</v>
      </c>
      <c r="H210">
        <v>29</v>
      </c>
    </row>
    <row r="211" spans="2:8" x14ac:dyDescent="0.25">
      <c r="B211" t="str">
        <f t="shared" si="3"/>
        <v>24NGPr</v>
      </c>
      <c r="C211">
        <v>2024</v>
      </c>
      <c r="D211" t="s">
        <v>27</v>
      </c>
      <c r="E211" t="s">
        <v>33</v>
      </c>
      <c r="F211" t="s">
        <v>56</v>
      </c>
      <c r="G211">
        <v>1</v>
      </c>
      <c r="H211">
        <v>29</v>
      </c>
    </row>
    <row r="212" spans="2:8" x14ac:dyDescent="0.25">
      <c r="B212" t="str">
        <f t="shared" si="3"/>
        <v>25NGPr</v>
      </c>
      <c r="C212">
        <v>2025</v>
      </c>
      <c r="D212" t="s">
        <v>27</v>
      </c>
      <c r="E212" t="s">
        <v>33</v>
      </c>
      <c r="F212" t="s">
        <v>56</v>
      </c>
      <c r="G212">
        <v>1</v>
      </c>
      <c r="H212">
        <v>29</v>
      </c>
    </row>
    <row r="213" spans="2:8" x14ac:dyDescent="0.25">
      <c r="B213" t="str">
        <f t="shared" si="3"/>
        <v>16NGNI</v>
      </c>
      <c r="C213">
        <v>2016</v>
      </c>
      <c r="D213" t="s">
        <v>27</v>
      </c>
      <c r="E213" t="s">
        <v>33</v>
      </c>
      <c r="F213" t="s">
        <v>57</v>
      </c>
      <c r="G213">
        <v>2</v>
      </c>
      <c r="H213">
        <v>28</v>
      </c>
    </row>
    <row r="214" spans="2:8" x14ac:dyDescent="0.25">
      <c r="B214" t="str">
        <f t="shared" si="3"/>
        <v>17NGNI</v>
      </c>
      <c r="C214">
        <v>2017</v>
      </c>
      <c r="D214" t="s">
        <v>27</v>
      </c>
      <c r="E214" t="s">
        <v>33</v>
      </c>
      <c r="F214" t="s">
        <v>57</v>
      </c>
      <c r="G214">
        <v>2</v>
      </c>
      <c r="H214">
        <v>28</v>
      </c>
    </row>
    <row r="215" spans="2:8" x14ac:dyDescent="0.25">
      <c r="B215" t="str">
        <f t="shared" si="3"/>
        <v>18NGNI</v>
      </c>
      <c r="C215">
        <v>2018</v>
      </c>
      <c r="D215" t="s">
        <v>27</v>
      </c>
      <c r="E215" t="s">
        <v>33</v>
      </c>
      <c r="F215" t="s">
        <v>57</v>
      </c>
      <c r="G215">
        <v>2</v>
      </c>
      <c r="H215">
        <v>28</v>
      </c>
    </row>
    <row r="216" spans="2:8" x14ac:dyDescent="0.25">
      <c r="B216" t="str">
        <f t="shared" si="3"/>
        <v>19NGNI</v>
      </c>
      <c r="C216">
        <v>2019</v>
      </c>
      <c r="D216" t="s">
        <v>27</v>
      </c>
      <c r="E216" t="s">
        <v>33</v>
      </c>
      <c r="F216" t="s">
        <v>57</v>
      </c>
      <c r="G216">
        <v>2</v>
      </c>
      <c r="H216">
        <v>29</v>
      </c>
    </row>
    <row r="217" spans="2:8" x14ac:dyDescent="0.25">
      <c r="B217" t="str">
        <f t="shared" si="3"/>
        <v>20NGNI</v>
      </c>
      <c r="C217">
        <v>2020</v>
      </c>
      <c r="D217" t="s">
        <v>27</v>
      </c>
      <c r="E217" t="s">
        <v>33</v>
      </c>
      <c r="F217" t="s">
        <v>57</v>
      </c>
      <c r="G217">
        <v>2</v>
      </c>
      <c r="H217">
        <v>29</v>
      </c>
    </row>
    <row r="218" spans="2:8" x14ac:dyDescent="0.25">
      <c r="B218" t="str">
        <f t="shared" si="3"/>
        <v>21NGNI</v>
      </c>
      <c r="C218">
        <v>2021</v>
      </c>
      <c r="D218" t="s">
        <v>27</v>
      </c>
      <c r="E218" t="s">
        <v>33</v>
      </c>
      <c r="F218" t="s">
        <v>57</v>
      </c>
      <c r="G218">
        <v>2</v>
      </c>
      <c r="H218">
        <v>29</v>
      </c>
    </row>
    <row r="219" spans="2:8" x14ac:dyDescent="0.25">
      <c r="B219" t="str">
        <f t="shared" si="3"/>
        <v>22NGNI</v>
      </c>
      <c r="C219">
        <v>2022</v>
      </c>
      <c r="D219" t="s">
        <v>27</v>
      </c>
      <c r="E219" t="s">
        <v>33</v>
      </c>
      <c r="F219" t="s">
        <v>57</v>
      </c>
      <c r="G219">
        <v>2</v>
      </c>
      <c r="H219">
        <v>30</v>
      </c>
    </row>
    <row r="220" spans="2:8" x14ac:dyDescent="0.25">
      <c r="B220" t="str">
        <f t="shared" si="3"/>
        <v>23NGNI</v>
      </c>
      <c r="C220">
        <v>2023</v>
      </c>
      <c r="D220" t="s">
        <v>27</v>
      </c>
      <c r="E220" t="s">
        <v>33</v>
      </c>
      <c r="F220" t="s">
        <v>57</v>
      </c>
      <c r="G220">
        <v>2</v>
      </c>
      <c r="H220">
        <v>30</v>
      </c>
    </row>
    <row r="221" spans="2:8" x14ac:dyDescent="0.25">
      <c r="B221" t="str">
        <f t="shared" si="3"/>
        <v>24NGNI</v>
      </c>
      <c r="C221">
        <v>2024</v>
      </c>
      <c r="D221" t="s">
        <v>27</v>
      </c>
      <c r="E221" t="s">
        <v>33</v>
      </c>
      <c r="F221" t="s">
        <v>57</v>
      </c>
      <c r="G221">
        <v>2</v>
      </c>
      <c r="H221">
        <v>30</v>
      </c>
    </row>
    <row r="222" spans="2:8" x14ac:dyDescent="0.25">
      <c r="B222" t="str">
        <f t="shared" si="3"/>
        <v>25NGNI</v>
      </c>
      <c r="C222">
        <v>2025</v>
      </c>
      <c r="D222" t="s">
        <v>27</v>
      </c>
      <c r="E222" t="s">
        <v>33</v>
      </c>
      <c r="F222" t="s">
        <v>57</v>
      </c>
      <c r="G222">
        <v>2</v>
      </c>
      <c r="H222">
        <v>30</v>
      </c>
    </row>
    <row r="223" spans="2:8" x14ac:dyDescent="0.25">
      <c r="B223" t="str">
        <f t="shared" si="3"/>
        <v>16NSS</v>
      </c>
      <c r="C223">
        <v>2016</v>
      </c>
      <c r="D223" t="s">
        <v>27</v>
      </c>
      <c r="E223" t="s">
        <v>34</v>
      </c>
      <c r="F223" t="s">
        <v>58</v>
      </c>
      <c r="G223">
        <v>1</v>
      </c>
      <c r="H223">
        <v>16</v>
      </c>
    </row>
    <row r="224" spans="2:8" x14ac:dyDescent="0.25">
      <c r="B224" t="str">
        <f t="shared" si="3"/>
        <v>17NSS</v>
      </c>
      <c r="C224">
        <v>2017</v>
      </c>
      <c r="D224" t="s">
        <v>27</v>
      </c>
      <c r="E224" t="s">
        <v>34</v>
      </c>
      <c r="F224" t="s">
        <v>58</v>
      </c>
      <c r="G224">
        <v>1</v>
      </c>
      <c r="H224">
        <v>16</v>
      </c>
    </row>
    <row r="225" spans="2:8" x14ac:dyDescent="0.25">
      <c r="B225" t="str">
        <f t="shared" si="3"/>
        <v>18NSS</v>
      </c>
      <c r="C225">
        <v>2018</v>
      </c>
      <c r="D225" t="s">
        <v>27</v>
      </c>
      <c r="E225" t="s">
        <v>34</v>
      </c>
      <c r="F225" t="s">
        <v>58</v>
      </c>
      <c r="G225">
        <v>1</v>
      </c>
      <c r="H225">
        <v>16</v>
      </c>
    </row>
    <row r="226" spans="2:8" x14ac:dyDescent="0.25">
      <c r="B226" t="str">
        <f t="shared" si="3"/>
        <v>19NSS</v>
      </c>
      <c r="C226">
        <v>2019</v>
      </c>
      <c r="D226" t="s">
        <v>27</v>
      </c>
      <c r="E226" t="s">
        <v>34</v>
      </c>
      <c r="F226" t="s">
        <v>58</v>
      </c>
      <c r="G226">
        <v>1</v>
      </c>
      <c r="H226">
        <v>17</v>
      </c>
    </row>
    <row r="227" spans="2:8" x14ac:dyDescent="0.25">
      <c r="B227" t="str">
        <f t="shared" si="3"/>
        <v>20NSS</v>
      </c>
      <c r="C227">
        <v>2020</v>
      </c>
      <c r="D227" t="s">
        <v>27</v>
      </c>
      <c r="E227" t="s">
        <v>34</v>
      </c>
      <c r="F227" t="s">
        <v>58</v>
      </c>
      <c r="G227">
        <v>1</v>
      </c>
      <c r="H227">
        <v>17</v>
      </c>
    </row>
    <row r="228" spans="2:8" x14ac:dyDescent="0.25">
      <c r="B228" t="str">
        <f t="shared" si="3"/>
        <v>21NSS</v>
      </c>
      <c r="C228">
        <v>2021</v>
      </c>
      <c r="D228" t="s">
        <v>27</v>
      </c>
      <c r="E228" t="s">
        <v>34</v>
      </c>
      <c r="F228" t="s">
        <v>58</v>
      </c>
      <c r="G228">
        <v>1</v>
      </c>
      <c r="H228">
        <v>17</v>
      </c>
    </row>
    <row r="229" spans="2:8" x14ac:dyDescent="0.25">
      <c r="B229" t="str">
        <f t="shared" si="3"/>
        <v>22NSS</v>
      </c>
      <c r="C229">
        <v>2022</v>
      </c>
      <c r="D229" t="s">
        <v>27</v>
      </c>
      <c r="E229" t="s">
        <v>34</v>
      </c>
      <c r="F229" t="s">
        <v>58</v>
      </c>
      <c r="G229">
        <v>1</v>
      </c>
      <c r="H229">
        <v>18</v>
      </c>
    </row>
    <row r="230" spans="2:8" x14ac:dyDescent="0.25">
      <c r="B230" t="str">
        <f t="shared" si="3"/>
        <v>23NSS</v>
      </c>
      <c r="C230">
        <v>2023</v>
      </c>
      <c r="D230" t="s">
        <v>27</v>
      </c>
      <c r="E230" t="s">
        <v>34</v>
      </c>
      <c r="F230" t="s">
        <v>58</v>
      </c>
      <c r="G230">
        <v>1</v>
      </c>
      <c r="H230">
        <v>18</v>
      </c>
    </row>
    <row r="231" spans="2:8" x14ac:dyDescent="0.25">
      <c r="B231" t="str">
        <f t="shared" si="3"/>
        <v>24NSS</v>
      </c>
      <c r="C231">
        <v>2024</v>
      </c>
      <c r="D231" t="s">
        <v>27</v>
      </c>
      <c r="E231" t="s">
        <v>34</v>
      </c>
      <c r="F231" t="s">
        <v>58</v>
      </c>
      <c r="G231">
        <v>1</v>
      </c>
      <c r="H231">
        <v>18</v>
      </c>
    </row>
    <row r="232" spans="2:8" x14ac:dyDescent="0.25">
      <c r="B232" t="str">
        <f t="shared" si="3"/>
        <v>25NSS</v>
      </c>
      <c r="C232">
        <v>2025</v>
      </c>
      <c r="D232" t="s">
        <v>27</v>
      </c>
      <c r="E232" t="s">
        <v>34</v>
      </c>
      <c r="F232" t="s">
        <v>58</v>
      </c>
      <c r="G232">
        <v>1</v>
      </c>
      <c r="H232">
        <v>18</v>
      </c>
    </row>
    <row r="233" spans="2:8" x14ac:dyDescent="0.25">
      <c r="B233" t="str">
        <f t="shared" si="3"/>
        <v>16NSSV</v>
      </c>
      <c r="C233">
        <v>2016</v>
      </c>
      <c r="D233" t="s">
        <v>27</v>
      </c>
      <c r="E233" t="s">
        <v>34</v>
      </c>
      <c r="F233" t="s">
        <v>59</v>
      </c>
      <c r="G233">
        <v>2</v>
      </c>
      <c r="H233">
        <v>17</v>
      </c>
    </row>
    <row r="234" spans="2:8" x14ac:dyDescent="0.25">
      <c r="B234" t="str">
        <f t="shared" si="3"/>
        <v>17NSSV</v>
      </c>
      <c r="C234">
        <v>2017</v>
      </c>
      <c r="D234" t="s">
        <v>27</v>
      </c>
      <c r="E234" t="s">
        <v>34</v>
      </c>
      <c r="F234" t="s">
        <v>59</v>
      </c>
      <c r="G234">
        <v>2</v>
      </c>
      <c r="H234">
        <v>17</v>
      </c>
    </row>
    <row r="235" spans="2:8" x14ac:dyDescent="0.25">
      <c r="B235" t="str">
        <f t="shared" si="3"/>
        <v>18NSSV</v>
      </c>
      <c r="C235">
        <v>2018</v>
      </c>
      <c r="D235" t="s">
        <v>27</v>
      </c>
      <c r="E235" t="s">
        <v>34</v>
      </c>
      <c r="F235" t="s">
        <v>59</v>
      </c>
      <c r="G235">
        <v>2</v>
      </c>
      <c r="H235">
        <v>17</v>
      </c>
    </row>
    <row r="236" spans="2:8" x14ac:dyDescent="0.25">
      <c r="B236" t="str">
        <f t="shared" si="3"/>
        <v>19NSSV</v>
      </c>
      <c r="C236">
        <v>2019</v>
      </c>
      <c r="D236" t="s">
        <v>27</v>
      </c>
      <c r="E236" t="s">
        <v>34</v>
      </c>
      <c r="F236" t="s">
        <v>59</v>
      </c>
      <c r="G236">
        <v>2</v>
      </c>
      <c r="H236">
        <v>18</v>
      </c>
    </row>
    <row r="237" spans="2:8" x14ac:dyDescent="0.25">
      <c r="B237" t="str">
        <f t="shared" si="3"/>
        <v>20NSSV</v>
      </c>
      <c r="C237">
        <v>2020</v>
      </c>
      <c r="D237" t="s">
        <v>27</v>
      </c>
      <c r="E237" t="s">
        <v>34</v>
      </c>
      <c r="F237" t="s">
        <v>59</v>
      </c>
      <c r="G237">
        <v>2</v>
      </c>
      <c r="H237">
        <v>18</v>
      </c>
    </row>
    <row r="238" spans="2:8" x14ac:dyDescent="0.25">
      <c r="B238" t="str">
        <f t="shared" si="3"/>
        <v>21NSSV</v>
      </c>
      <c r="C238">
        <v>2021</v>
      </c>
      <c r="D238" t="s">
        <v>27</v>
      </c>
      <c r="E238" t="s">
        <v>34</v>
      </c>
      <c r="F238" t="s">
        <v>59</v>
      </c>
      <c r="G238">
        <v>2</v>
      </c>
      <c r="H238">
        <v>18</v>
      </c>
    </row>
    <row r="239" spans="2:8" x14ac:dyDescent="0.25">
      <c r="B239" t="str">
        <f t="shared" si="3"/>
        <v>22NSSV</v>
      </c>
      <c r="C239">
        <v>2022</v>
      </c>
      <c r="D239" t="s">
        <v>27</v>
      </c>
      <c r="E239" t="s">
        <v>34</v>
      </c>
      <c r="F239" t="s">
        <v>59</v>
      </c>
      <c r="G239">
        <v>2</v>
      </c>
      <c r="H239">
        <v>19</v>
      </c>
    </row>
    <row r="240" spans="2:8" x14ac:dyDescent="0.25">
      <c r="B240" t="str">
        <f t="shared" si="3"/>
        <v>23NSSV</v>
      </c>
      <c r="C240">
        <v>2023</v>
      </c>
      <c r="D240" t="s">
        <v>27</v>
      </c>
      <c r="E240" t="s">
        <v>34</v>
      </c>
      <c r="F240" t="s">
        <v>59</v>
      </c>
      <c r="G240">
        <v>2</v>
      </c>
      <c r="H240">
        <v>19</v>
      </c>
    </row>
    <row r="241" spans="2:8" x14ac:dyDescent="0.25">
      <c r="B241" t="str">
        <f t="shared" si="3"/>
        <v>24NSSV</v>
      </c>
      <c r="C241">
        <v>2024</v>
      </c>
      <c r="D241" t="s">
        <v>27</v>
      </c>
      <c r="E241" t="s">
        <v>34</v>
      </c>
      <c r="F241" t="s">
        <v>59</v>
      </c>
      <c r="G241">
        <v>2</v>
      </c>
      <c r="H241">
        <v>19</v>
      </c>
    </row>
    <row r="242" spans="2:8" x14ac:dyDescent="0.25">
      <c r="B242" t="str">
        <f t="shared" si="3"/>
        <v>25NSSV</v>
      </c>
      <c r="C242">
        <v>2025</v>
      </c>
      <c r="D242" t="s">
        <v>27</v>
      </c>
      <c r="E242" t="s">
        <v>34</v>
      </c>
      <c r="F242" t="s">
        <v>59</v>
      </c>
      <c r="G242">
        <v>2</v>
      </c>
      <c r="H242">
        <v>19</v>
      </c>
    </row>
    <row r="243" spans="2:8" x14ac:dyDescent="0.25">
      <c r="B243" t="str">
        <f t="shared" si="3"/>
        <v>16NSSR</v>
      </c>
      <c r="C243">
        <v>2016</v>
      </c>
      <c r="D243" t="s">
        <v>27</v>
      </c>
      <c r="E243" t="s">
        <v>34</v>
      </c>
      <c r="F243" t="s">
        <v>60</v>
      </c>
      <c r="G243">
        <v>3</v>
      </c>
      <c r="H243">
        <v>18</v>
      </c>
    </row>
    <row r="244" spans="2:8" x14ac:dyDescent="0.25">
      <c r="B244" t="str">
        <f t="shared" si="3"/>
        <v>17NSSR</v>
      </c>
      <c r="C244">
        <v>2017</v>
      </c>
      <c r="D244" t="s">
        <v>27</v>
      </c>
      <c r="E244" t="s">
        <v>34</v>
      </c>
      <c r="F244" t="s">
        <v>60</v>
      </c>
      <c r="G244">
        <v>3</v>
      </c>
      <c r="H244">
        <v>18</v>
      </c>
    </row>
    <row r="245" spans="2:8" x14ac:dyDescent="0.25">
      <c r="B245" t="str">
        <f t="shared" si="3"/>
        <v>18NSSR</v>
      </c>
      <c r="C245">
        <v>2018</v>
      </c>
      <c r="D245" t="s">
        <v>27</v>
      </c>
      <c r="E245" t="s">
        <v>34</v>
      </c>
      <c r="F245" t="s">
        <v>60</v>
      </c>
      <c r="G245">
        <v>3</v>
      </c>
      <c r="H245">
        <v>18</v>
      </c>
    </row>
    <row r="246" spans="2:8" x14ac:dyDescent="0.25">
      <c r="B246" t="str">
        <f t="shared" si="3"/>
        <v>19NSSR</v>
      </c>
      <c r="C246">
        <v>2019</v>
      </c>
      <c r="D246" t="s">
        <v>27</v>
      </c>
      <c r="E246" t="s">
        <v>34</v>
      </c>
      <c r="F246" t="s">
        <v>60</v>
      </c>
      <c r="G246">
        <v>3</v>
      </c>
      <c r="H246">
        <v>19</v>
      </c>
    </row>
    <row r="247" spans="2:8" x14ac:dyDescent="0.25">
      <c r="B247" t="str">
        <f t="shared" si="3"/>
        <v>20NSSR</v>
      </c>
      <c r="C247">
        <v>2020</v>
      </c>
      <c r="D247" t="s">
        <v>27</v>
      </c>
      <c r="E247" t="s">
        <v>34</v>
      </c>
      <c r="F247" t="s">
        <v>60</v>
      </c>
      <c r="G247">
        <v>3</v>
      </c>
      <c r="H247">
        <v>19</v>
      </c>
    </row>
    <row r="248" spans="2:8" x14ac:dyDescent="0.25">
      <c r="B248" t="str">
        <f t="shared" si="3"/>
        <v>21NSSR</v>
      </c>
      <c r="C248">
        <v>2021</v>
      </c>
      <c r="D248" t="s">
        <v>27</v>
      </c>
      <c r="E248" t="s">
        <v>34</v>
      </c>
      <c r="F248" t="s">
        <v>60</v>
      </c>
      <c r="G248">
        <v>3</v>
      </c>
      <c r="H248">
        <v>19</v>
      </c>
    </row>
    <row r="249" spans="2:8" x14ac:dyDescent="0.25">
      <c r="B249" t="str">
        <f t="shared" si="3"/>
        <v>22NSSR</v>
      </c>
      <c r="C249">
        <v>2022</v>
      </c>
      <c r="D249" t="s">
        <v>27</v>
      </c>
      <c r="E249" t="s">
        <v>34</v>
      </c>
      <c r="F249" t="s">
        <v>60</v>
      </c>
      <c r="G249">
        <v>3</v>
      </c>
      <c r="H249">
        <v>20</v>
      </c>
    </row>
    <row r="250" spans="2:8" x14ac:dyDescent="0.25">
      <c r="B250" t="str">
        <f t="shared" si="3"/>
        <v>23NSSR</v>
      </c>
      <c r="C250">
        <v>2023</v>
      </c>
      <c r="D250" t="s">
        <v>27</v>
      </c>
      <c r="E250" t="s">
        <v>34</v>
      </c>
      <c r="F250" t="s">
        <v>60</v>
      </c>
      <c r="G250">
        <v>3</v>
      </c>
      <c r="H250">
        <v>20</v>
      </c>
    </row>
    <row r="251" spans="2:8" x14ac:dyDescent="0.25">
      <c r="B251" t="str">
        <f t="shared" si="3"/>
        <v>24NSSR</v>
      </c>
      <c r="C251">
        <v>2024</v>
      </c>
      <c r="D251" t="s">
        <v>27</v>
      </c>
      <c r="E251" t="s">
        <v>34</v>
      </c>
      <c r="F251" t="s">
        <v>60</v>
      </c>
      <c r="G251">
        <v>3</v>
      </c>
      <c r="H251">
        <v>20</v>
      </c>
    </row>
    <row r="252" spans="2:8" x14ac:dyDescent="0.25">
      <c r="B252" t="str">
        <f t="shared" si="3"/>
        <v>25NSSR</v>
      </c>
      <c r="C252">
        <v>2025</v>
      </c>
      <c r="D252" t="s">
        <v>27</v>
      </c>
      <c r="E252" t="s">
        <v>34</v>
      </c>
      <c r="F252" t="s">
        <v>60</v>
      </c>
      <c r="G252">
        <v>3</v>
      </c>
      <c r="H252">
        <v>20</v>
      </c>
    </row>
    <row r="253" spans="2:8" x14ac:dyDescent="0.25">
      <c r="B253" t="str">
        <f t="shared" si="3"/>
        <v>16TCLE</v>
      </c>
      <c r="C253">
        <v>2016</v>
      </c>
      <c r="D253" t="s">
        <v>25</v>
      </c>
      <c r="E253" t="s">
        <v>35</v>
      </c>
      <c r="F253" t="s">
        <v>61</v>
      </c>
      <c r="G253">
        <v>1</v>
      </c>
      <c r="H253">
        <v>18</v>
      </c>
    </row>
    <row r="254" spans="2:8" x14ac:dyDescent="0.25">
      <c r="B254" t="str">
        <f t="shared" si="3"/>
        <v>17TCLE</v>
      </c>
      <c r="C254">
        <v>2017</v>
      </c>
      <c r="D254" t="s">
        <v>25</v>
      </c>
      <c r="E254" t="s">
        <v>35</v>
      </c>
      <c r="F254" t="s">
        <v>61</v>
      </c>
      <c r="G254">
        <v>1</v>
      </c>
      <c r="H254">
        <v>18</v>
      </c>
    </row>
    <row r="255" spans="2:8" x14ac:dyDescent="0.25">
      <c r="B255" t="str">
        <f t="shared" si="3"/>
        <v>18TCLE</v>
      </c>
      <c r="C255">
        <v>2018</v>
      </c>
      <c r="D255" t="s">
        <v>25</v>
      </c>
      <c r="E255" t="s">
        <v>35</v>
      </c>
      <c r="F255" t="s">
        <v>61</v>
      </c>
      <c r="G255">
        <v>1</v>
      </c>
      <c r="H255">
        <v>18</v>
      </c>
    </row>
    <row r="256" spans="2:8" x14ac:dyDescent="0.25">
      <c r="B256" t="str">
        <f t="shared" si="3"/>
        <v>19TCLE</v>
      </c>
      <c r="C256">
        <v>2019</v>
      </c>
      <c r="D256" t="s">
        <v>25</v>
      </c>
      <c r="E256" t="s">
        <v>35</v>
      </c>
      <c r="F256" t="s">
        <v>61</v>
      </c>
      <c r="G256">
        <v>1</v>
      </c>
      <c r="H256">
        <v>19</v>
      </c>
    </row>
    <row r="257" spans="2:8" x14ac:dyDescent="0.25">
      <c r="B257" t="str">
        <f t="shared" si="3"/>
        <v>20TCLE</v>
      </c>
      <c r="C257">
        <v>2020</v>
      </c>
      <c r="D257" t="s">
        <v>25</v>
      </c>
      <c r="E257" t="s">
        <v>35</v>
      </c>
      <c r="F257" t="s">
        <v>61</v>
      </c>
      <c r="G257">
        <v>1</v>
      </c>
      <c r="H257">
        <v>19</v>
      </c>
    </row>
    <row r="258" spans="2:8" x14ac:dyDescent="0.25">
      <c r="B258" t="str">
        <f t="shared" si="3"/>
        <v>21TCLE</v>
      </c>
      <c r="C258">
        <v>2021</v>
      </c>
      <c r="D258" t="s">
        <v>25</v>
      </c>
      <c r="E258" t="s">
        <v>35</v>
      </c>
      <c r="F258" t="s">
        <v>61</v>
      </c>
      <c r="G258">
        <v>1</v>
      </c>
      <c r="H258">
        <v>19</v>
      </c>
    </row>
    <row r="259" spans="2:8" x14ac:dyDescent="0.25">
      <c r="B259" t="str">
        <f t="shared" si="3"/>
        <v>22TCLE</v>
      </c>
      <c r="C259">
        <v>2022</v>
      </c>
      <c r="D259" t="s">
        <v>25</v>
      </c>
      <c r="E259" t="s">
        <v>35</v>
      </c>
      <c r="F259" t="s">
        <v>61</v>
      </c>
      <c r="G259">
        <v>1</v>
      </c>
      <c r="H259">
        <v>20</v>
      </c>
    </row>
    <row r="260" spans="2:8" x14ac:dyDescent="0.25">
      <c r="B260" t="str">
        <f t="shared" ref="B260:B323" si="4">_xlfn.CONCAT(RIGHT(C260,2),LEFT(D260,1),LEFT(E260,1),LEFT(F260, 2))</f>
        <v>23TCLE</v>
      </c>
      <c r="C260">
        <v>2023</v>
      </c>
      <c r="D260" t="s">
        <v>25</v>
      </c>
      <c r="E260" t="s">
        <v>35</v>
      </c>
      <c r="F260" t="s">
        <v>61</v>
      </c>
      <c r="G260">
        <v>1</v>
      </c>
      <c r="H260">
        <v>20</v>
      </c>
    </row>
    <row r="261" spans="2:8" x14ac:dyDescent="0.25">
      <c r="B261" t="str">
        <f t="shared" si="4"/>
        <v>24TCLE</v>
      </c>
      <c r="C261">
        <v>2024</v>
      </c>
      <c r="D261" t="s">
        <v>25</v>
      </c>
      <c r="E261" t="s">
        <v>35</v>
      </c>
      <c r="F261" t="s">
        <v>61</v>
      </c>
      <c r="G261">
        <v>1</v>
      </c>
      <c r="H261">
        <v>20</v>
      </c>
    </row>
    <row r="262" spans="2:8" x14ac:dyDescent="0.25">
      <c r="B262" t="str">
        <f t="shared" si="4"/>
        <v>25TCLE</v>
      </c>
      <c r="C262">
        <v>2025</v>
      </c>
      <c r="D262" t="s">
        <v>25</v>
      </c>
      <c r="E262" t="s">
        <v>35</v>
      </c>
      <c r="F262" t="s">
        <v>61</v>
      </c>
      <c r="G262">
        <v>1</v>
      </c>
      <c r="H262">
        <v>20</v>
      </c>
    </row>
    <row r="263" spans="2:8" x14ac:dyDescent="0.25">
      <c r="B263" t="str">
        <f t="shared" si="4"/>
        <v>16TCSE</v>
      </c>
      <c r="C263">
        <v>2016</v>
      </c>
      <c r="D263" t="s">
        <v>25</v>
      </c>
      <c r="E263" t="s">
        <v>35</v>
      </c>
      <c r="F263" t="s">
        <v>52</v>
      </c>
      <c r="G263">
        <v>2</v>
      </c>
      <c r="H263">
        <v>19</v>
      </c>
    </row>
    <row r="264" spans="2:8" x14ac:dyDescent="0.25">
      <c r="B264" t="str">
        <f t="shared" si="4"/>
        <v>17TCSE</v>
      </c>
      <c r="C264">
        <v>2017</v>
      </c>
      <c r="D264" t="s">
        <v>25</v>
      </c>
      <c r="E264" t="s">
        <v>35</v>
      </c>
      <c r="F264" t="s">
        <v>52</v>
      </c>
      <c r="G264">
        <v>2</v>
      </c>
      <c r="H264">
        <v>19</v>
      </c>
    </row>
    <row r="265" spans="2:8" x14ac:dyDescent="0.25">
      <c r="B265" t="str">
        <f t="shared" si="4"/>
        <v>18TCSE</v>
      </c>
      <c r="C265">
        <v>2018</v>
      </c>
      <c r="D265" t="s">
        <v>25</v>
      </c>
      <c r="E265" t="s">
        <v>35</v>
      </c>
      <c r="F265" t="s">
        <v>52</v>
      </c>
      <c r="G265">
        <v>2</v>
      </c>
      <c r="H265">
        <v>19</v>
      </c>
    </row>
    <row r="266" spans="2:8" x14ac:dyDescent="0.25">
      <c r="B266" t="str">
        <f t="shared" si="4"/>
        <v>19TCSE</v>
      </c>
      <c r="C266">
        <v>2019</v>
      </c>
      <c r="D266" t="s">
        <v>25</v>
      </c>
      <c r="E266" t="s">
        <v>35</v>
      </c>
      <c r="F266" t="s">
        <v>52</v>
      </c>
      <c r="G266">
        <v>2</v>
      </c>
      <c r="H266">
        <v>20</v>
      </c>
    </row>
    <row r="267" spans="2:8" x14ac:dyDescent="0.25">
      <c r="B267" t="str">
        <f t="shared" si="4"/>
        <v>20TCSE</v>
      </c>
      <c r="C267">
        <v>2020</v>
      </c>
      <c r="D267" t="s">
        <v>25</v>
      </c>
      <c r="E267" t="s">
        <v>35</v>
      </c>
      <c r="F267" t="s">
        <v>52</v>
      </c>
      <c r="G267">
        <v>2</v>
      </c>
      <c r="H267">
        <v>20</v>
      </c>
    </row>
    <row r="268" spans="2:8" x14ac:dyDescent="0.25">
      <c r="B268" t="str">
        <f t="shared" si="4"/>
        <v>21TCSE</v>
      </c>
      <c r="C268">
        <v>2021</v>
      </c>
      <c r="D268" t="s">
        <v>25</v>
      </c>
      <c r="E268" t="s">
        <v>35</v>
      </c>
      <c r="F268" t="s">
        <v>52</v>
      </c>
      <c r="G268">
        <v>2</v>
      </c>
      <c r="H268">
        <v>20</v>
      </c>
    </row>
    <row r="269" spans="2:8" x14ac:dyDescent="0.25">
      <c r="B269" t="str">
        <f t="shared" si="4"/>
        <v>22TCSE</v>
      </c>
      <c r="C269">
        <v>2022</v>
      </c>
      <c r="D269" t="s">
        <v>25</v>
      </c>
      <c r="E269" t="s">
        <v>35</v>
      </c>
      <c r="F269" t="s">
        <v>52</v>
      </c>
      <c r="G269">
        <v>2</v>
      </c>
      <c r="H269">
        <v>21</v>
      </c>
    </row>
    <row r="270" spans="2:8" x14ac:dyDescent="0.25">
      <c r="B270" t="str">
        <f t="shared" si="4"/>
        <v>23TCSE</v>
      </c>
      <c r="C270">
        <v>2023</v>
      </c>
      <c r="D270" t="s">
        <v>25</v>
      </c>
      <c r="E270" t="s">
        <v>35</v>
      </c>
      <c r="F270" t="s">
        <v>52</v>
      </c>
      <c r="G270">
        <v>2</v>
      </c>
      <c r="H270">
        <v>21</v>
      </c>
    </row>
    <row r="271" spans="2:8" x14ac:dyDescent="0.25">
      <c r="B271" t="str">
        <f t="shared" si="4"/>
        <v>24TCSE</v>
      </c>
      <c r="C271">
        <v>2024</v>
      </c>
      <c r="D271" t="s">
        <v>25</v>
      </c>
      <c r="E271" t="s">
        <v>35</v>
      </c>
      <c r="F271" t="s">
        <v>52</v>
      </c>
      <c r="G271">
        <v>2</v>
      </c>
      <c r="H271">
        <v>21</v>
      </c>
    </row>
    <row r="272" spans="2:8" x14ac:dyDescent="0.25">
      <c r="B272" t="str">
        <f t="shared" si="4"/>
        <v>25TCSE</v>
      </c>
      <c r="C272">
        <v>2025</v>
      </c>
      <c r="D272" t="s">
        <v>25</v>
      </c>
      <c r="E272" t="s">
        <v>35</v>
      </c>
      <c r="F272" t="s">
        <v>52</v>
      </c>
      <c r="G272">
        <v>2</v>
      </c>
      <c r="H272">
        <v>21</v>
      </c>
    </row>
    <row r="273" spans="2:8" x14ac:dyDescent="0.25">
      <c r="B273" t="str">
        <f t="shared" si="4"/>
        <v>16TCXL</v>
      </c>
      <c r="C273">
        <v>2016</v>
      </c>
      <c r="D273" t="s">
        <v>25</v>
      </c>
      <c r="E273" t="s">
        <v>35</v>
      </c>
      <c r="F273" t="s">
        <v>62</v>
      </c>
      <c r="G273">
        <v>3</v>
      </c>
      <c r="H273">
        <v>20</v>
      </c>
    </row>
    <row r="274" spans="2:8" x14ac:dyDescent="0.25">
      <c r="B274" t="str">
        <f t="shared" si="4"/>
        <v>17TCXL</v>
      </c>
      <c r="C274">
        <v>2017</v>
      </c>
      <c r="D274" t="s">
        <v>25</v>
      </c>
      <c r="E274" t="s">
        <v>35</v>
      </c>
      <c r="F274" t="s">
        <v>62</v>
      </c>
      <c r="G274">
        <v>3</v>
      </c>
      <c r="H274">
        <v>20</v>
      </c>
    </row>
    <row r="275" spans="2:8" x14ac:dyDescent="0.25">
      <c r="B275" t="str">
        <f t="shared" si="4"/>
        <v>18TCXL</v>
      </c>
      <c r="C275">
        <v>2018</v>
      </c>
      <c r="D275" t="s">
        <v>25</v>
      </c>
      <c r="E275" t="s">
        <v>35</v>
      </c>
      <c r="F275" t="s">
        <v>62</v>
      </c>
      <c r="G275">
        <v>3</v>
      </c>
      <c r="H275">
        <v>20</v>
      </c>
    </row>
    <row r="276" spans="2:8" x14ac:dyDescent="0.25">
      <c r="B276" t="str">
        <f t="shared" si="4"/>
        <v>19TCXL</v>
      </c>
      <c r="C276">
        <v>2019</v>
      </c>
      <c r="D276" t="s">
        <v>25</v>
      </c>
      <c r="E276" t="s">
        <v>35</v>
      </c>
      <c r="F276" t="s">
        <v>62</v>
      </c>
      <c r="G276">
        <v>3</v>
      </c>
      <c r="H276">
        <v>21</v>
      </c>
    </row>
    <row r="277" spans="2:8" x14ac:dyDescent="0.25">
      <c r="B277" t="str">
        <f t="shared" si="4"/>
        <v>20TCXL</v>
      </c>
      <c r="C277">
        <v>2020</v>
      </c>
      <c r="D277" t="s">
        <v>25</v>
      </c>
      <c r="E277" t="s">
        <v>35</v>
      </c>
      <c r="F277" t="s">
        <v>62</v>
      </c>
      <c r="G277">
        <v>3</v>
      </c>
      <c r="H277">
        <v>21</v>
      </c>
    </row>
    <row r="278" spans="2:8" x14ac:dyDescent="0.25">
      <c r="B278" t="str">
        <f t="shared" si="4"/>
        <v>21TCXL</v>
      </c>
      <c r="C278">
        <v>2021</v>
      </c>
      <c r="D278" t="s">
        <v>25</v>
      </c>
      <c r="E278" t="s">
        <v>35</v>
      </c>
      <c r="F278" t="s">
        <v>62</v>
      </c>
      <c r="G278">
        <v>3</v>
      </c>
      <c r="H278">
        <v>21</v>
      </c>
    </row>
    <row r="279" spans="2:8" x14ac:dyDescent="0.25">
      <c r="B279" t="str">
        <f t="shared" si="4"/>
        <v>22TCXL</v>
      </c>
      <c r="C279">
        <v>2022</v>
      </c>
      <c r="D279" t="s">
        <v>25</v>
      </c>
      <c r="E279" t="s">
        <v>35</v>
      </c>
      <c r="F279" t="s">
        <v>62</v>
      </c>
      <c r="G279">
        <v>3</v>
      </c>
      <c r="H279">
        <v>22</v>
      </c>
    </row>
    <row r="280" spans="2:8" x14ac:dyDescent="0.25">
      <c r="B280" t="str">
        <f t="shared" si="4"/>
        <v>23TCXL</v>
      </c>
      <c r="C280">
        <v>2023</v>
      </c>
      <c r="D280" t="s">
        <v>25</v>
      </c>
      <c r="E280" t="s">
        <v>35</v>
      </c>
      <c r="F280" t="s">
        <v>62</v>
      </c>
      <c r="G280">
        <v>3</v>
      </c>
      <c r="H280">
        <v>22</v>
      </c>
    </row>
    <row r="281" spans="2:8" x14ac:dyDescent="0.25">
      <c r="B281" t="str">
        <f t="shared" si="4"/>
        <v>24TCXL</v>
      </c>
      <c r="C281">
        <v>2024</v>
      </c>
      <c r="D281" t="s">
        <v>25</v>
      </c>
      <c r="E281" t="s">
        <v>35</v>
      </c>
      <c r="F281" t="s">
        <v>62</v>
      </c>
      <c r="G281">
        <v>3</v>
      </c>
      <c r="H281">
        <v>22</v>
      </c>
    </row>
    <row r="282" spans="2:8" x14ac:dyDescent="0.25">
      <c r="B282" t="str">
        <f t="shared" si="4"/>
        <v>25TCXL</v>
      </c>
      <c r="C282">
        <v>2025</v>
      </c>
      <c r="D282" t="s">
        <v>25</v>
      </c>
      <c r="E282" t="s">
        <v>35</v>
      </c>
      <c r="F282" t="s">
        <v>62</v>
      </c>
      <c r="G282">
        <v>3</v>
      </c>
      <c r="H282">
        <v>22</v>
      </c>
    </row>
    <row r="283" spans="2:8" x14ac:dyDescent="0.25">
      <c r="B283" t="str">
        <f t="shared" si="4"/>
        <v>16TCXS</v>
      </c>
      <c r="C283">
        <v>2016</v>
      </c>
      <c r="D283" t="s">
        <v>25</v>
      </c>
      <c r="E283" t="s">
        <v>35</v>
      </c>
      <c r="F283" t="s">
        <v>63</v>
      </c>
      <c r="G283">
        <v>4</v>
      </c>
      <c r="H283">
        <v>21</v>
      </c>
    </row>
    <row r="284" spans="2:8" x14ac:dyDescent="0.25">
      <c r="B284" t="str">
        <f t="shared" si="4"/>
        <v>17TCXS</v>
      </c>
      <c r="C284">
        <v>2017</v>
      </c>
      <c r="D284" t="s">
        <v>25</v>
      </c>
      <c r="E284" t="s">
        <v>35</v>
      </c>
      <c r="F284" t="s">
        <v>63</v>
      </c>
      <c r="G284">
        <v>4</v>
      </c>
      <c r="H284">
        <v>21</v>
      </c>
    </row>
    <row r="285" spans="2:8" x14ac:dyDescent="0.25">
      <c r="B285" t="str">
        <f t="shared" si="4"/>
        <v>18TCXS</v>
      </c>
      <c r="C285">
        <v>2018</v>
      </c>
      <c r="D285" t="s">
        <v>25</v>
      </c>
      <c r="E285" t="s">
        <v>35</v>
      </c>
      <c r="F285" t="s">
        <v>63</v>
      </c>
      <c r="G285">
        <v>4</v>
      </c>
      <c r="H285">
        <v>21</v>
      </c>
    </row>
    <row r="286" spans="2:8" x14ac:dyDescent="0.25">
      <c r="B286" t="str">
        <f t="shared" si="4"/>
        <v>19TCXS</v>
      </c>
      <c r="C286">
        <v>2019</v>
      </c>
      <c r="D286" t="s">
        <v>25</v>
      </c>
      <c r="E286" t="s">
        <v>35</v>
      </c>
      <c r="F286" t="s">
        <v>63</v>
      </c>
      <c r="G286">
        <v>4</v>
      </c>
      <c r="H286">
        <v>22</v>
      </c>
    </row>
    <row r="287" spans="2:8" x14ac:dyDescent="0.25">
      <c r="B287" t="str">
        <f t="shared" si="4"/>
        <v>20TCXS</v>
      </c>
      <c r="C287">
        <v>2020</v>
      </c>
      <c r="D287" t="s">
        <v>25</v>
      </c>
      <c r="E287" t="s">
        <v>35</v>
      </c>
      <c r="F287" t="s">
        <v>63</v>
      </c>
      <c r="G287">
        <v>4</v>
      </c>
      <c r="H287">
        <v>22</v>
      </c>
    </row>
    <row r="288" spans="2:8" x14ac:dyDescent="0.25">
      <c r="B288" t="str">
        <f t="shared" si="4"/>
        <v>21TCXS</v>
      </c>
      <c r="C288">
        <v>2021</v>
      </c>
      <c r="D288" t="s">
        <v>25</v>
      </c>
      <c r="E288" t="s">
        <v>35</v>
      </c>
      <c r="F288" t="s">
        <v>63</v>
      </c>
      <c r="G288">
        <v>4</v>
      </c>
      <c r="H288">
        <v>22</v>
      </c>
    </row>
    <row r="289" spans="2:8" x14ac:dyDescent="0.25">
      <c r="B289" t="str">
        <f t="shared" si="4"/>
        <v>22TCXS</v>
      </c>
      <c r="C289">
        <v>2022</v>
      </c>
      <c r="D289" t="s">
        <v>25</v>
      </c>
      <c r="E289" t="s">
        <v>35</v>
      </c>
      <c r="F289" t="s">
        <v>63</v>
      </c>
      <c r="G289">
        <v>4</v>
      </c>
      <c r="H289">
        <v>23</v>
      </c>
    </row>
    <row r="290" spans="2:8" x14ac:dyDescent="0.25">
      <c r="B290" t="str">
        <f t="shared" si="4"/>
        <v>23TCXS</v>
      </c>
      <c r="C290">
        <v>2023</v>
      </c>
      <c r="D290" t="s">
        <v>25</v>
      </c>
      <c r="E290" t="s">
        <v>35</v>
      </c>
      <c r="F290" t="s">
        <v>63</v>
      </c>
      <c r="G290">
        <v>4</v>
      </c>
      <c r="H290">
        <v>23</v>
      </c>
    </row>
    <row r="291" spans="2:8" x14ac:dyDescent="0.25">
      <c r="B291" t="str">
        <f t="shared" si="4"/>
        <v>24TCXS</v>
      </c>
      <c r="C291">
        <v>2024</v>
      </c>
      <c r="D291" t="s">
        <v>25</v>
      </c>
      <c r="E291" t="s">
        <v>35</v>
      </c>
      <c r="F291" t="s">
        <v>63</v>
      </c>
      <c r="G291">
        <v>4</v>
      </c>
      <c r="H291">
        <v>23</v>
      </c>
    </row>
    <row r="292" spans="2:8" x14ac:dyDescent="0.25">
      <c r="B292" t="str">
        <f t="shared" si="4"/>
        <v>25TCXS</v>
      </c>
      <c r="C292">
        <v>2025</v>
      </c>
      <c r="D292" t="s">
        <v>25</v>
      </c>
      <c r="E292" t="s">
        <v>35</v>
      </c>
      <c r="F292" t="s">
        <v>63</v>
      </c>
      <c r="G292">
        <v>4</v>
      </c>
      <c r="H292">
        <v>23</v>
      </c>
    </row>
    <row r="293" spans="2:8" x14ac:dyDescent="0.25">
      <c r="B293" t="str">
        <f t="shared" si="4"/>
        <v>16TPLE</v>
      </c>
      <c r="C293">
        <v>2016</v>
      </c>
      <c r="D293" t="s">
        <v>25</v>
      </c>
      <c r="E293" t="s">
        <v>64</v>
      </c>
      <c r="F293" t="s">
        <v>61</v>
      </c>
      <c r="G293">
        <v>1</v>
      </c>
      <c r="H293">
        <v>21</v>
      </c>
    </row>
    <row r="294" spans="2:8" x14ac:dyDescent="0.25">
      <c r="B294" t="str">
        <f t="shared" si="4"/>
        <v>17TPLE</v>
      </c>
      <c r="C294">
        <v>2017</v>
      </c>
      <c r="D294" t="s">
        <v>25</v>
      </c>
      <c r="E294" t="s">
        <v>64</v>
      </c>
      <c r="F294" t="s">
        <v>61</v>
      </c>
      <c r="G294">
        <v>1</v>
      </c>
      <c r="H294">
        <v>21</v>
      </c>
    </row>
    <row r="295" spans="2:8" x14ac:dyDescent="0.25">
      <c r="B295" t="str">
        <f t="shared" si="4"/>
        <v>18TPLE</v>
      </c>
      <c r="C295">
        <v>2018</v>
      </c>
      <c r="D295" t="s">
        <v>25</v>
      </c>
      <c r="E295" t="s">
        <v>64</v>
      </c>
      <c r="F295" t="s">
        <v>61</v>
      </c>
      <c r="G295">
        <v>1</v>
      </c>
      <c r="H295">
        <v>21</v>
      </c>
    </row>
    <row r="296" spans="2:8" x14ac:dyDescent="0.25">
      <c r="B296" t="str">
        <f t="shared" si="4"/>
        <v>19TPLE</v>
      </c>
      <c r="C296">
        <v>2019</v>
      </c>
      <c r="D296" t="s">
        <v>25</v>
      </c>
      <c r="E296" t="s">
        <v>64</v>
      </c>
      <c r="F296" t="s">
        <v>61</v>
      </c>
      <c r="G296">
        <v>1</v>
      </c>
      <c r="H296">
        <v>22</v>
      </c>
    </row>
    <row r="297" spans="2:8" x14ac:dyDescent="0.25">
      <c r="B297" t="str">
        <f t="shared" si="4"/>
        <v>20TPLE</v>
      </c>
      <c r="C297">
        <v>2020</v>
      </c>
      <c r="D297" t="s">
        <v>25</v>
      </c>
      <c r="E297" t="s">
        <v>64</v>
      </c>
      <c r="F297" t="s">
        <v>61</v>
      </c>
      <c r="G297">
        <v>1</v>
      </c>
      <c r="H297">
        <v>22</v>
      </c>
    </row>
    <row r="298" spans="2:8" x14ac:dyDescent="0.25">
      <c r="B298" t="str">
        <f t="shared" si="4"/>
        <v>21TPLE</v>
      </c>
      <c r="C298">
        <v>2021</v>
      </c>
      <c r="D298" t="s">
        <v>25</v>
      </c>
      <c r="E298" t="s">
        <v>64</v>
      </c>
      <c r="F298" t="s">
        <v>61</v>
      </c>
      <c r="G298">
        <v>1</v>
      </c>
      <c r="H298">
        <v>22</v>
      </c>
    </row>
    <row r="299" spans="2:8" x14ac:dyDescent="0.25">
      <c r="B299" t="str">
        <f t="shared" si="4"/>
        <v>22TPLE</v>
      </c>
      <c r="C299">
        <v>2022</v>
      </c>
      <c r="D299" t="s">
        <v>25</v>
      </c>
      <c r="E299" t="s">
        <v>64</v>
      </c>
      <c r="F299" t="s">
        <v>61</v>
      </c>
      <c r="G299">
        <v>1</v>
      </c>
      <c r="H299">
        <v>23</v>
      </c>
    </row>
    <row r="300" spans="2:8" x14ac:dyDescent="0.25">
      <c r="B300" t="str">
        <f t="shared" si="4"/>
        <v>23TPLE</v>
      </c>
      <c r="C300">
        <v>2023</v>
      </c>
      <c r="D300" t="s">
        <v>25</v>
      </c>
      <c r="E300" t="s">
        <v>64</v>
      </c>
      <c r="F300" t="s">
        <v>61</v>
      </c>
      <c r="G300">
        <v>1</v>
      </c>
      <c r="H300">
        <v>23</v>
      </c>
    </row>
    <row r="301" spans="2:8" x14ac:dyDescent="0.25">
      <c r="B301" t="str">
        <f t="shared" si="4"/>
        <v>24TPLE</v>
      </c>
      <c r="C301">
        <v>2024</v>
      </c>
      <c r="D301" t="s">
        <v>25</v>
      </c>
      <c r="E301" t="s">
        <v>64</v>
      </c>
      <c r="F301" t="s">
        <v>61</v>
      </c>
      <c r="G301">
        <v>1</v>
      </c>
      <c r="H301">
        <v>23</v>
      </c>
    </row>
    <row r="302" spans="2:8" x14ac:dyDescent="0.25">
      <c r="B302" t="str">
        <f t="shared" si="4"/>
        <v>25TPLE</v>
      </c>
      <c r="C302">
        <v>2025</v>
      </c>
      <c r="D302" t="s">
        <v>25</v>
      </c>
      <c r="E302" t="s">
        <v>64</v>
      </c>
      <c r="F302" t="s">
        <v>61</v>
      </c>
      <c r="G302">
        <v>1</v>
      </c>
      <c r="H302">
        <v>23</v>
      </c>
    </row>
    <row r="303" spans="2:8" x14ac:dyDescent="0.25">
      <c r="B303" t="str">
        <f t="shared" si="4"/>
        <v>16TPSE</v>
      </c>
      <c r="C303">
        <v>2016</v>
      </c>
      <c r="D303" t="s">
        <v>25</v>
      </c>
      <c r="E303" t="s">
        <v>64</v>
      </c>
      <c r="F303" t="s">
        <v>52</v>
      </c>
      <c r="G303">
        <v>2</v>
      </c>
      <c r="H303">
        <v>22</v>
      </c>
    </row>
    <row r="304" spans="2:8" x14ac:dyDescent="0.25">
      <c r="B304" t="str">
        <f t="shared" si="4"/>
        <v>17TPSE</v>
      </c>
      <c r="C304">
        <v>2017</v>
      </c>
      <c r="D304" t="s">
        <v>25</v>
      </c>
      <c r="E304" t="s">
        <v>64</v>
      </c>
      <c r="F304" t="s">
        <v>52</v>
      </c>
      <c r="G304">
        <v>2</v>
      </c>
      <c r="H304">
        <v>22</v>
      </c>
    </row>
    <row r="305" spans="2:8" x14ac:dyDescent="0.25">
      <c r="B305" t="str">
        <f t="shared" si="4"/>
        <v>18TPSE</v>
      </c>
      <c r="C305">
        <v>2018</v>
      </c>
      <c r="D305" t="s">
        <v>25</v>
      </c>
      <c r="E305" t="s">
        <v>64</v>
      </c>
      <c r="F305" t="s">
        <v>52</v>
      </c>
      <c r="G305">
        <v>2</v>
      </c>
      <c r="H305">
        <v>22</v>
      </c>
    </row>
    <row r="306" spans="2:8" x14ac:dyDescent="0.25">
      <c r="B306" t="str">
        <f t="shared" si="4"/>
        <v>19TPSE</v>
      </c>
      <c r="C306">
        <v>2019</v>
      </c>
      <c r="D306" t="s">
        <v>25</v>
      </c>
      <c r="E306" t="s">
        <v>64</v>
      </c>
      <c r="F306" t="s">
        <v>52</v>
      </c>
      <c r="G306">
        <v>2</v>
      </c>
      <c r="H306">
        <v>23</v>
      </c>
    </row>
    <row r="307" spans="2:8" x14ac:dyDescent="0.25">
      <c r="B307" t="str">
        <f t="shared" si="4"/>
        <v>20TPSE</v>
      </c>
      <c r="C307">
        <v>2020</v>
      </c>
      <c r="D307" t="s">
        <v>25</v>
      </c>
      <c r="E307" t="s">
        <v>64</v>
      </c>
      <c r="F307" t="s">
        <v>52</v>
      </c>
      <c r="G307">
        <v>2</v>
      </c>
      <c r="H307">
        <v>23</v>
      </c>
    </row>
    <row r="308" spans="2:8" x14ac:dyDescent="0.25">
      <c r="B308" t="str">
        <f t="shared" si="4"/>
        <v>21TPSE</v>
      </c>
      <c r="C308">
        <v>2021</v>
      </c>
      <c r="D308" t="s">
        <v>25</v>
      </c>
      <c r="E308" t="s">
        <v>64</v>
      </c>
      <c r="F308" t="s">
        <v>52</v>
      </c>
      <c r="G308">
        <v>2</v>
      </c>
      <c r="H308">
        <v>23</v>
      </c>
    </row>
    <row r="309" spans="2:8" x14ac:dyDescent="0.25">
      <c r="B309" t="str">
        <f t="shared" si="4"/>
        <v>22TPSE</v>
      </c>
      <c r="C309">
        <v>2022</v>
      </c>
      <c r="D309" t="s">
        <v>25</v>
      </c>
      <c r="E309" t="s">
        <v>64</v>
      </c>
      <c r="F309" t="s">
        <v>52</v>
      </c>
      <c r="G309">
        <v>2</v>
      </c>
      <c r="H309">
        <v>24</v>
      </c>
    </row>
    <row r="310" spans="2:8" x14ac:dyDescent="0.25">
      <c r="B310" t="str">
        <f t="shared" si="4"/>
        <v>23TPSE</v>
      </c>
      <c r="C310">
        <v>2023</v>
      </c>
      <c r="D310" t="s">
        <v>25</v>
      </c>
      <c r="E310" t="s">
        <v>64</v>
      </c>
      <c r="F310" t="s">
        <v>52</v>
      </c>
      <c r="G310">
        <v>2</v>
      </c>
      <c r="H310">
        <v>24</v>
      </c>
    </row>
    <row r="311" spans="2:8" x14ac:dyDescent="0.25">
      <c r="B311" t="str">
        <f t="shared" si="4"/>
        <v>24TPSE</v>
      </c>
      <c r="C311">
        <v>2024</v>
      </c>
      <c r="D311" t="s">
        <v>25</v>
      </c>
      <c r="E311" t="s">
        <v>64</v>
      </c>
      <c r="F311" t="s">
        <v>52</v>
      </c>
      <c r="G311">
        <v>2</v>
      </c>
      <c r="H311">
        <v>24</v>
      </c>
    </row>
    <row r="312" spans="2:8" x14ac:dyDescent="0.25">
      <c r="B312" t="str">
        <f t="shared" si="4"/>
        <v>25TPSE</v>
      </c>
      <c r="C312">
        <v>2025</v>
      </c>
      <c r="D312" t="s">
        <v>25</v>
      </c>
      <c r="E312" t="s">
        <v>64</v>
      </c>
      <c r="F312" t="s">
        <v>52</v>
      </c>
      <c r="G312">
        <v>2</v>
      </c>
      <c r="H312">
        <v>24</v>
      </c>
    </row>
    <row r="313" spans="2:8" x14ac:dyDescent="0.25">
      <c r="B313" t="str">
        <f t="shared" si="4"/>
        <v>16TPXL</v>
      </c>
      <c r="C313">
        <v>2016</v>
      </c>
      <c r="D313" t="s">
        <v>25</v>
      </c>
      <c r="E313" t="s">
        <v>64</v>
      </c>
      <c r="F313" t="s">
        <v>62</v>
      </c>
      <c r="G313">
        <v>3</v>
      </c>
      <c r="H313">
        <v>23</v>
      </c>
    </row>
    <row r="314" spans="2:8" x14ac:dyDescent="0.25">
      <c r="B314" t="str">
        <f t="shared" si="4"/>
        <v>17TPXL</v>
      </c>
      <c r="C314">
        <v>2017</v>
      </c>
      <c r="D314" t="s">
        <v>25</v>
      </c>
      <c r="E314" t="s">
        <v>64</v>
      </c>
      <c r="F314" t="s">
        <v>62</v>
      </c>
      <c r="G314">
        <v>3</v>
      </c>
      <c r="H314">
        <v>23</v>
      </c>
    </row>
    <row r="315" spans="2:8" x14ac:dyDescent="0.25">
      <c r="B315" t="str">
        <f t="shared" si="4"/>
        <v>18TPXL</v>
      </c>
      <c r="C315">
        <v>2018</v>
      </c>
      <c r="D315" t="s">
        <v>25</v>
      </c>
      <c r="E315" t="s">
        <v>64</v>
      </c>
      <c r="F315" t="s">
        <v>62</v>
      </c>
      <c r="G315">
        <v>3</v>
      </c>
      <c r="H315">
        <v>23</v>
      </c>
    </row>
    <row r="316" spans="2:8" x14ac:dyDescent="0.25">
      <c r="B316" t="str">
        <f t="shared" si="4"/>
        <v>19TPXL</v>
      </c>
      <c r="C316">
        <v>2019</v>
      </c>
      <c r="D316" t="s">
        <v>25</v>
      </c>
      <c r="E316" t="s">
        <v>64</v>
      </c>
      <c r="F316" t="s">
        <v>62</v>
      </c>
      <c r="G316">
        <v>3</v>
      </c>
      <c r="H316">
        <v>24</v>
      </c>
    </row>
    <row r="317" spans="2:8" x14ac:dyDescent="0.25">
      <c r="B317" t="str">
        <f t="shared" si="4"/>
        <v>20TPXL</v>
      </c>
      <c r="C317">
        <v>2020</v>
      </c>
      <c r="D317" t="s">
        <v>25</v>
      </c>
      <c r="E317" t="s">
        <v>64</v>
      </c>
      <c r="F317" t="s">
        <v>62</v>
      </c>
      <c r="G317">
        <v>3</v>
      </c>
      <c r="H317">
        <v>24</v>
      </c>
    </row>
    <row r="318" spans="2:8" x14ac:dyDescent="0.25">
      <c r="B318" t="str">
        <f t="shared" si="4"/>
        <v>21TPXL</v>
      </c>
      <c r="C318">
        <v>2021</v>
      </c>
      <c r="D318" t="s">
        <v>25</v>
      </c>
      <c r="E318" t="s">
        <v>64</v>
      </c>
      <c r="F318" t="s">
        <v>62</v>
      </c>
      <c r="G318">
        <v>3</v>
      </c>
      <c r="H318">
        <v>24</v>
      </c>
    </row>
    <row r="319" spans="2:8" x14ac:dyDescent="0.25">
      <c r="B319" t="str">
        <f t="shared" si="4"/>
        <v>22TPXL</v>
      </c>
      <c r="C319">
        <v>2022</v>
      </c>
      <c r="D319" t="s">
        <v>25</v>
      </c>
      <c r="E319" t="s">
        <v>64</v>
      </c>
      <c r="F319" t="s">
        <v>62</v>
      </c>
      <c r="G319">
        <v>3</v>
      </c>
      <c r="H319">
        <v>25</v>
      </c>
    </row>
    <row r="320" spans="2:8" x14ac:dyDescent="0.25">
      <c r="B320" t="str">
        <f t="shared" si="4"/>
        <v>23TPXL</v>
      </c>
      <c r="C320">
        <v>2023</v>
      </c>
      <c r="D320" t="s">
        <v>25</v>
      </c>
      <c r="E320" t="s">
        <v>64</v>
      </c>
      <c r="F320" t="s">
        <v>62</v>
      </c>
      <c r="G320">
        <v>3</v>
      </c>
      <c r="H320">
        <v>25</v>
      </c>
    </row>
    <row r="321" spans="2:8" x14ac:dyDescent="0.25">
      <c r="B321" t="str">
        <f t="shared" si="4"/>
        <v>24TPXL</v>
      </c>
      <c r="C321">
        <v>2024</v>
      </c>
      <c r="D321" t="s">
        <v>25</v>
      </c>
      <c r="E321" t="s">
        <v>64</v>
      </c>
      <c r="F321" t="s">
        <v>62</v>
      </c>
      <c r="G321">
        <v>3</v>
      </c>
      <c r="H321">
        <v>25</v>
      </c>
    </row>
    <row r="322" spans="2:8" x14ac:dyDescent="0.25">
      <c r="B322" t="str">
        <f t="shared" si="4"/>
        <v>25TPXL</v>
      </c>
      <c r="C322">
        <v>2025</v>
      </c>
      <c r="D322" t="s">
        <v>25</v>
      </c>
      <c r="E322" t="s">
        <v>64</v>
      </c>
      <c r="F322" t="s">
        <v>62</v>
      </c>
      <c r="G322">
        <v>3</v>
      </c>
      <c r="H322">
        <v>25</v>
      </c>
    </row>
    <row r="323" spans="2:8" x14ac:dyDescent="0.25">
      <c r="B323" t="str">
        <f t="shared" si="4"/>
        <v>16TPXS</v>
      </c>
      <c r="C323">
        <v>2016</v>
      </c>
      <c r="D323" t="s">
        <v>25</v>
      </c>
      <c r="E323" t="s">
        <v>64</v>
      </c>
      <c r="F323" t="s">
        <v>63</v>
      </c>
      <c r="G323">
        <v>4</v>
      </c>
      <c r="H323">
        <v>24</v>
      </c>
    </row>
    <row r="324" spans="2:8" x14ac:dyDescent="0.25">
      <c r="B324" t="str">
        <f t="shared" ref="B324:B332" si="5">_xlfn.CONCAT(RIGHT(C324,2),LEFT(D324,1),LEFT(E324,1),LEFT(F324, 2))</f>
        <v>17TPXS</v>
      </c>
      <c r="C324">
        <v>2017</v>
      </c>
      <c r="D324" t="s">
        <v>25</v>
      </c>
      <c r="E324" t="s">
        <v>64</v>
      </c>
      <c r="F324" t="s">
        <v>63</v>
      </c>
      <c r="G324">
        <v>4</v>
      </c>
      <c r="H324">
        <v>24</v>
      </c>
    </row>
    <row r="325" spans="2:8" x14ac:dyDescent="0.25">
      <c r="B325" t="str">
        <f t="shared" si="5"/>
        <v>18TPXS</v>
      </c>
      <c r="C325">
        <v>2018</v>
      </c>
      <c r="D325" t="s">
        <v>25</v>
      </c>
      <c r="E325" t="s">
        <v>64</v>
      </c>
      <c r="F325" t="s">
        <v>63</v>
      </c>
      <c r="G325">
        <v>4</v>
      </c>
      <c r="H325">
        <v>24</v>
      </c>
    </row>
    <row r="326" spans="2:8" x14ac:dyDescent="0.25">
      <c r="B326" t="str">
        <f t="shared" si="5"/>
        <v>19TPXS</v>
      </c>
      <c r="C326">
        <v>2019</v>
      </c>
      <c r="D326" t="s">
        <v>25</v>
      </c>
      <c r="E326" t="s">
        <v>64</v>
      </c>
      <c r="F326" t="s">
        <v>63</v>
      </c>
      <c r="G326">
        <v>4</v>
      </c>
      <c r="H326">
        <v>25</v>
      </c>
    </row>
    <row r="327" spans="2:8" x14ac:dyDescent="0.25">
      <c r="B327" t="str">
        <f t="shared" si="5"/>
        <v>20TPXS</v>
      </c>
      <c r="C327">
        <v>2020</v>
      </c>
      <c r="D327" t="s">
        <v>25</v>
      </c>
      <c r="E327" t="s">
        <v>64</v>
      </c>
      <c r="F327" t="s">
        <v>63</v>
      </c>
      <c r="G327">
        <v>4</v>
      </c>
      <c r="H327">
        <v>25</v>
      </c>
    </row>
    <row r="328" spans="2:8" x14ac:dyDescent="0.25">
      <c r="B328" t="str">
        <f t="shared" si="5"/>
        <v>21TPXS</v>
      </c>
      <c r="C328">
        <v>2021</v>
      </c>
      <c r="D328" t="s">
        <v>25</v>
      </c>
      <c r="E328" t="s">
        <v>64</v>
      </c>
      <c r="F328" t="s">
        <v>63</v>
      </c>
      <c r="G328">
        <v>4</v>
      </c>
      <c r="H328">
        <v>25</v>
      </c>
    </row>
    <row r="329" spans="2:8" x14ac:dyDescent="0.25">
      <c r="B329" t="str">
        <f t="shared" si="5"/>
        <v>22TPXS</v>
      </c>
      <c r="C329">
        <v>2022</v>
      </c>
      <c r="D329" t="s">
        <v>25</v>
      </c>
      <c r="E329" t="s">
        <v>64</v>
      </c>
      <c r="F329" t="s">
        <v>63</v>
      </c>
      <c r="G329">
        <v>4</v>
      </c>
      <c r="H329">
        <v>26</v>
      </c>
    </row>
    <row r="330" spans="2:8" x14ac:dyDescent="0.25">
      <c r="B330" t="str">
        <f t="shared" si="5"/>
        <v>23TPXS</v>
      </c>
      <c r="C330">
        <v>2023</v>
      </c>
      <c r="D330" t="s">
        <v>25</v>
      </c>
      <c r="E330" t="s">
        <v>64</v>
      </c>
      <c r="F330" t="s">
        <v>63</v>
      </c>
      <c r="G330">
        <v>4</v>
      </c>
      <c r="H330">
        <v>26</v>
      </c>
    </row>
    <row r="331" spans="2:8" x14ac:dyDescent="0.25">
      <c r="B331" t="str">
        <f t="shared" si="5"/>
        <v>24TPXS</v>
      </c>
      <c r="C331">
        <v>2024</v>
      </c>
      <c r="D331" t="s">
        <v>25</v>
      </c>
      <c r="E331" t="s">
        <v>64</v>
      </c>
      <c r="F331" t="s">
        <v>63</v>
      </c>
      <c r="G331">
        <v>4</v>
      </c>
      <c r="H331">
        <v>26</v>
      </c>
    </row>
    <row r="332" spans="2:8" x14ac:dyDescent="0.25">
      <c r="B332" t="str">
        <f t="shared" si="5"/>
        <v>25TPXS</v>
      </c>
      <c r="C332">
        <v>2025</v>
      </c>
      <c r="D332" t="s">
        <v>25</v>
      </c>
      <c r="E332" t="s">
        <v>64</v>
      </c>
      <c r="F332" t="s">
        <v>63</v>
      </c>
      <c r="G332">
        <v>4</v>
      </c>
      <c r="H332">
        <v>26</v>
      </c>
    </row>
  </sheetData>
  <autoFilter ref="C2:H2" xr:uid="{00DDB7BE-73C0-4419-938B-AE5F90E54D7C}">
    <sortState xmlns:xlrd2="http://schemas.microsoft.com/office/spreadsheetml/2017/richdata2" ref="C3:H202">
      <sortCondition ref="D2"/>
    </sortState>
  </autoFilter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59412-B555-4C45-866C-9013D519364D}">
  <sheetPr codeName="Sheet25"/>
  <dimension ref="B2:G27"/>
  <sheetViews>
    <sheetView workbookViewId="0">
      <selection activeCell="G8" sqref="G8"/>
    </sheetView>
  </sheetViews>
  <sheetFormatPr defaultRowHeight="15" x14ac:dyDescent="0.25"/>
  <cols>
    <col min="2" max="2" width="24.140625" bestFit="1" customWidth="1"/>
    <col min="3" max="3" width="8.140625" bestFit="1" customWidth="1"/>
  </cols>
  <sheetData>
    <row r="2" spans="2:7" x14ac:dyDescent="0.25">
      <c r="B2" t="s">
        <v>138</v>
      </c>
      <c r="C2" t="s">
        <v>119</v>
      </c>
    </row>
    <row r="3" spans="2:7" x14ac:dyDescent="0.25">
      <c r="B3">
        <v>1000</v>
      </c>
      <c r="C3">
        <v>0.7</v>
      </c>
    </row>
    <row r="4" spans="2:7" x14ac:dyDescent="0.25">
      <c r="B4">
        <v>2000</v>
      </c>
      <c r="C4">
        <v>0.75</v>
      </c>
    </row>
    <row r="5" spans="2:7" x14ac:dyDescent="0.25">
      <c r="B5">
        <v>3000</v>
      </c>
      <c r="C5">
        <v>0.8</v>
      </c>
    </row>
    <row r="6" spans="2:7" x14ac:dyDescent="0.25">
      <c r="B6">
        <v>4000</v>
      </c>
      <c r="C6">
        <v>0.85</v>
      </c>
    </row>
    <row r="7" spans="2:7" x14ac:dyDescent="0.25">
      <c r="B7">
        <v>5000</v>
      </c>
      <c r="C7">
        <v>0.9</v>
      </c>
      <c r="G7">
        <v>1234</v>
      </c>
    </row>
    <row r="8" spans="2:7" x14ac:dyDescent="0.25">
      <c r="B8">
        <v>6000</v>
      </c>
      <c r="C8">
        <v>0.95</v>
      </c>
      <c r="G8">
        <f>ROUNDDOWN(G7, -3)</f>
        <v>1000</v>
      </c>
    </row>
    <row r="9" spans="2:7" x14ac:dyDescent="0.25">
      <c r="B9">
        <v>7000</v>
      </c>
      <c r="C9">
        <v>1</v>
      </c>
    </row>
    <row r="10" spans="2:7" x14ac:dyDescent="0.25">
      <c r="B10">
        <v>8000</v>
      </c>
      <c r="C10">
        <v>1.05</v>
      </c>
    </row>
    <row r="11" spans="2:7" x14ac:dyDescent="0.25">
      <c r="B11">
        <v>9000</v>
      </c>
      <c r="C11">
        <v>1.1000000000000001</v>
      </c>
    </row>
    <row r="12" spans="2:7" x14ac:dyDescent="0.25">
      <c r="B12">
        <v>10000</v>
      </c>
      <c r="C12">
        <v>1.1499999999999999</v>
      </c>
    </row>
    <row r="13" spans="2:7" x14ac:dyDescent="0.25">
      <c r="B13">
        <v>11000</v>
      </c>
      <c r="C13">
        <v>1.2</v>
      </c>
    </row>
    <row r="14" spans="2:7" x14ac:dyDescent="0.25">
      <c r="B14">
        <v>12000</v>
      </c>
      <c r="C14">
        <v>1.25</v>
      </c>
    </row>
    <row r="15" spans="2:7" x14ac:dyDescent="0.25">
      <c r="B15">
        <v>13000</v>
      </c>
      <c r="C15">
        <v>1.3</v>
      </c>
    </row>
    <row r="16" spans="2:7" x14ac:dyDescent="0.25">
      <c r="B16">
        <v>14000</v>
      </c>
      <c r="C16">
        <v>1.35</v>
      </c>
    </row>
    <row r="17" spans="2:3" x14ac:dyDescent="0.25">
      <c r="B17">
        <v>15000</v>
      </c>
      <c r="C17">
        <v>1.4</v>
      </c>
    </row>
    <row r="18" spans="2:3" x14ac:dyDescent="0.25">
      <c r="B18">
        <v>16000</v>
      </c>
      <c r="C18">
        <v>1.45</v>
      </c>
    </row>
    <row r="19" spans="2:3" x14ac:dyDescent="0.25">
      <c r="B19">
        <v>17000</v>
      </c>
      <c r="C19">
        <v>1.5</v>
      </c>
    </row>
    <row r="20" spans="2:3" x14ac:dyDescent="0.25">
      <c r="B20">
        <v>18000</v>
      </c>
      <c r="C20">
        <v>1.55</v>
      </c>
    </row>
    <row r="21" spans="2:3" x14ac:dyDescent="0.25">
      <c r="B21">
        <v>19000</v>
      </c>
      <c r="C21">
        <v>1.6</v>
      </c>
    </row>
    <row r="22" spans="2:3" x14ac:dyDescent="0.25">
      <c r="B22">
        <v>20000</v>
      </c>
      <c r="C22">
        <v>1.65</v>
      </c>
    </row>
    <row r="23" spans="2:3" x14ac:dyDescent="0.25">
      <c r="B23">
        <v>21000</v>
      </c>
      <c r="C23">
        <v>1.7</v>
      </c>
    </row>
    <row r="24" spans="2:3" x14ac:dyDescent="0.25">
      <c r="B24">
        <v>22000</v>
      </c>
      <c r="C24">
        <v>1.75</v>
      </c>
    </row>
    <row r="25" spans="2:3" x14ac:dyDescent="0.25">
      <c r="B25">
        <v>23000</v>
      </c>
      <c r="C25">
        <v>1.8</v>
      </c>
    </row>
    <row r="26" spans="2:3" x14ac:dyDescent="0.25">
      <c r="B26">
        <v>24000</v>
      </c>
      <c r="C26">
        <v>1.85</v>
      </c>
    </row>
    <row r="27" spans="2:3" x14ac:dyDescent="0.25">
      <c r="B27">
        <v>25000</v>
      </c>
      <c r="C27">
        <v>1.9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40</vt:i4>
      </vt:variant>
    </vt:vector>
  </HeadingPairs>
  <TitlesOfParts>
    <vt:vector size="64" baseType="lpstr">
      <vt:lpstr>0. Read Me!</vt:lpstr>
      <vt:lpstr>1. Household</vt:lpstr>
      <vt:lpstr>2.1 Driver</vt:lpstr>
      <vt:lpstr>2.2 Driver</vt:lpstr>
      <vt:lpstr>2.3 Driver</vt:lpstr>
      <vt:lpstr>2.4 Driver</vt:lpstr>
      <vt:lpstr>3.1 Vehicle</vt:lpstr>
      <vt:lpstr>3.2 Vehicle</vt:lpstr>
      <vt:lpstr>3.3 Vehicle</vt:lpstr>
      <vt:lpstr>3.4 Vehicle</vt:lpstr>
      <vt:lpstr>4.1 Coverage</vt:lpstr>
      <vt:lpstr>4.2 Coverage</vt:lpstr>
      <vt:lpstr>4.3 Coverage</vt:lpstr>
      <vt:lpstr>4.4 Coverage</vt:lpstr>
      <vt:lpstr>5. Final Quote</vt:lpstr>
      <vt:lpstr>Coverage Multiples</vt:lpstr>
      <vt:lpstr>Calculations</vt:lpstr>
      <vt:lpstr>DRG</vt:lpstr>
      <vt:lpstr>Driver Discounts</vt:lpstr>
      <vt:lpstr>Driver Records</vt:lpstr>
      <vt:lpstr>Driver Point System</vt:lpstr>
      <vt:lpstr>Locations</vt:lpstr>
      <vt:lpstr>Vehicles &amp; GRG</vt:lpstr>
      <vt:lpstr>Mileage</vt:lpstr>
      <vt:lpstr>CGDD1</vt:lpstr>
      <vt:lpstr>CGDD2</vt:lpstr>
      <vt:lpstr>CGDD3</vt:lpstr>
      <vt:lpstr>CGDD4</vt:lpstr>
      <vt:lpstr>DRIVER1</vt:lpstr>
      <vt:lpstr>DRIVER2</vt:lpstr>
      <vt:lpstr>DRIVER3</vt:lpstr>
      <vt:lpstr>DRIVER4</vt:lpstr>
      <vt:lpstr>FE</vt:lpstr>
      <vt:lpstr>FEL</vt:lpstr>
      <vt:lpstr>FF</vt:lpstr>
      <vt:lpstr>FFL</vt:lpstr>
      <vt:lpstr>FM</vt:lpstr>
      <vt:lpstr>FML</vt:lpstr>
      <vt:lpstr>HA</vt:lpstr>
      <vt:lpstr>HAL</vt:lpstr>
      <vt:lpstr>HC</vt:lpstr>
      <vt:lpstr>HCL</vt:lpstr>
      <vt:lpstr>HE</vt:lpstr>
      <vt:lpstr>HEL</vt:lpstr>
      <vt:lpstr>HH</vt:lpstr>
      <vt:lpstr>HHL</vt:lpstr>
      <vt:lpstr>HS</vt:lpstr>
      <vt:lpstr>HSL</vt:lpstr>
      <vt:lpstr>LD</vt:lpstr>
      <vt:lpstr>MCD</vt:lpstr>
      <vt:lpstr>NG</vt:lpstr>
      <vt:lpstr>NGL</vt:lpstr>
      <vt:lpstr>NS</vt:lpstr>
      <vt:lpstr>NSL</vt:lpstr>
      <vt:lpstr>q.d</vt:lpstr>
      <vt:lpstr>q.v</vt:lpstr>
      <vt:lpstr>tblPremiums1</vt:lpstr>
      <vt:lpstr>tblPremiums2</vt:lpstr>
      <vt:lpstr>tblPremiums3</vt:lpstr>
      <vt:lpstr>tblPremiums4</vt:lpstr>
      <vt:lpstr>TC</vt:lpstr>
      <vt:lpstr>TCL</vt:lpstr>
      <vt:lpstr>TP</vt:lpstr>
      <vt:lpstr>TPL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</dc:creator>
  <cp:lastModifiedBy>Joseph An</cp:lastModifiedBy>
  <dcterms:created xsi:type="dcterms:W3CDTF">2025-11-17T09:59:16Z</dcterms:created>
  <dcterms:modified xsi:type="dcterms:W3CDTF">2025-11-25T22:15:08Z</dcterms:modified>
</cp:coreProperties>
</file>